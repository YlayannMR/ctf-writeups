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ples SR-O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<sst xmlns="http://schemas.openxmlformats.org/spreadsheetml/2006/main" count="51" uniqueCount="47">
  <si>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Orséa Banque – EBIOS RM, atelier 2 : sources de risque / objectifs visés</t>
  </si>
  <si>
    <t xml:space="preserve">Motivation (M) et Ressources (R) notées de 1 à 3 · Pertinence = M + R</t>
  </si>
  <si>
    <t xml:space="preserve">ID</t>
  </si>
  <si>
    <t xml:space="preserve">Source de risque</t>
  </si>
  <si>
    <t xml:space="preserve">Objectif visé</t>
  </si>
  <si>
    <t xml:space="preserve">ER liés</t>
  </si>
  <si>
    <t xml:space="preserve">Motivation</t>
  </si>
  <si>
    <t xml:space="preserve">Ressources</t>
  </si>
  <si>
    <t xml:space="preserve">Pertinence</t>
  </si>
  <si>
    <t xml:space="preserve">Décision</t>
  </si>
  <si>
    <t xml:space="preserve">Justification</t>
  </si>
  <si>
    <t xml:space="preserve">SR/OV_01</t>
  </si>
  <si>
    <t xml:space="preserve">Cybercriminel organisé</t>
  </si>
  <si>
    <t xml:space="preserve">Gain financier par la fraude aux paiements</t>
  </si>
  <si>
    <t xml:space="preserve">ER_02</t>
  </si>
  <si>
    <t xml:space="preserve">Retenu</t>
  </si>
  <si>
    <t xml:space="preserve">C'est leur métier ; kits de phishing et malwares bancaires disponibles.</t>
  </si>
  <si>
    <t xml:space="preserve">SR/OV_02</t>
  </si>
  <si>
    <t xml:space="preserve">Vol et revente de données clients</t>
  </si>
  <si>
    <t xml:space="preserve">ER_04</t>
  </si>
  <si>
    <t xml:space="preserve">Couvert par SR/OV_03</t>
  </si>
  <si>
    <t xml:space="preserve">Données bancaires très lucratives, mais la double extorsion du rançongiciel couvre déjà la fuite (ER_04) : doublon fusionné.</t>
  </si>
  <si>
    <t xml:space="preserve">SR/OV_03</t>
  </si>
  <si>
    <t xml:space="preserve">Groupe de rançongiciel</t>
  </si>
  <si>
    <t xml:space="preserve">Extorsion par blocage des systèmes (double extorsion)</t>
  </si>
  <si>
    <t xml:space="preserve">ER_01, ER_04, ER_06</t>
  </si>
  <si>
    <t xml:space="preserve">Banques = cibles privilégiées, l'arrêt d'activité est intolérable ; vol des données avant chiffrement ; crise qui compromet la notification DORA.</t>
  </si>
  <si>
    <t xml:space="preserve">SR/OV_04</t>
  </si>
  <si>
    <t xml:space="preserve">Initié malveillant (employé ou prestataire)</t>
  </si>
  <si>
    <t xml:space="preserve">Gain financier par l'abus d'accès</t>
  </si>
  <si>
    <t xml:space="preserve">ER_05, ER_04</t>
  </si>
  <si>
    <t xml:space="preserve">Menace opportuniste (la plupart des employés sont honnêtes) ; dispose déjà des accès, l'étape la plus difficile de l'attaque.</t>
  </si>
  <si>
    <t xml:space="preserve">SR/OV_05</t>
  </si>
  <si>
    <t xml:space="preserve">Réseau de blanchiment</t>
  </si>
  <si>
    <t xml:space="preserve">Ouverture de comptes mules</t>
  </si>
  <si>
    <t xml:space="preserve">ER_03</t>
  </si>
  <si>
    <t xml:space="preserve">Forte motivation ; moyens réels (faux papiers, mules) mais peu sophistiqués techniquement.</t>
  </si>
  <si>
    <t xml:space="preserve">SR/OV_06</t>
  </si>
  <si>
    <t xml:space="preserve">Hacktiviste</t>
  </si>
  <si>
    <t xml:space="preserve">Atteinte à l'image par une attaque DDoS</t>
  </si>
  <si>
    <t xml:space="preserve">ER_01</t>
  </si>
  <si>
    <t xml:space="preserve">Écarté</t>
  </si>
  <si>
    <t xml:space="preserve">Néobanque sans polémique : cible peu naturelle ; DDoS bon marché à louer, d'où R2.</t>
  </si>
  <si>
    <t xml:space="preserve">Synthèse</t>
  </si>
  <si>
    <t xml:space="preserve">Couples retenus :</t>
  </si>
  <si>
    <t xml:space="preserve">Pertinence moyenne des retenus :</t>
  </si>
  <si>
    <t xml:space="preserve">Les 4 couples retenus couvrent les 6 événements redoutés (ER_06 découle d'une crise rançongiciel). Notes M/R en bleu modifiables (1 à 3) ; pertinence calculée.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</si>
</sst>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F3D99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4B6B6"/>
        </patternFill>
      </fill>
    </dxf>
    <dxf>
      <fill>
        <patternFill>
          <bgColor rgb="FFF9D9A8"/>
        </patternFill>
      </fill>
    </dxf>
    <dxf>
      <fill>
        <patternFill>
          <bgColor rgb="FFFFF2B3"/>
        </patternFill>
      </fill>
    </dxf>
    <dxf>
      <fill>
        <patternFill>
          <bgColor rgb="FFCDEBC4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2F0D9"/>
        </patternFill>
      </fill>
    </dxf>
    <dxf>
      <font>
        <name val="Arial"/>
        <charset val="1"/>
        <family val="0"/>
        <color rgb="FF7F7F7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B3"/>
      <rgbColor rgb="FFE2F0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C4"/>
      <rgbColor rgb="FFFFFF99"/>
      <rgbColor rgb="FF99CCFF"/>
      <rgbColor rgb="FFF4B6B6"/>
      <rgbColor rgb="FFCC99FF"/>
      <rgbColor rgb="FFF9D9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F3D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7" min="5" style="0" width="11"/>
    <col collapsed="false" customWidth="true" hidden="false" outlineLevel="0" max="8" min="8" style="0" width="20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9.5" hidden="false" customHeight="true" outlineLevel="0" collapsed="false">
      <c r="A5" s="4" t="s">
        <v>11</v>
      </c>
      <c r="B5" s="5" t="s">
        <v>12</v>
      </c>
      <c r="C5" s="5" t="s">
        <v>13</v>
      </c>
      <c r="D5" s="4" t="s">
        <v>14</v>
      </c>
      <c r="E5" s="6" t="n">
        <v>3</v>
      </c>
      <c r="F5" s="6" t="n">
        <v>3</v>
      </c>
      <c r="G5" s="7" t="n">
        <f aca="false">E5+F5</f>
        <v>6</v>
      </c>
      <c r="H5" s="4" t="s">
        <v>15</v>
      </c>
      <c r="I5" s="5" t="s">
        <v>16</v>
      </c>
    </row>
    <row r="6" customFormat="false" ht="49.5" hidden="false" customHeight="true" outlineLevel="0" collapsed="false">
      <c r="A6" s="4" t="s">
        <v>17</v>
      </c>
      <c r="B6" s="5" t="s">
        <v>12</v>
      </c>
      <c r="C6" s="5" t="s">
        <v>18</v>
      </c>
      <c r="D6" s="4" t="s">
        <v>19</v>
      </c>
      <c r="E6" s="6" t="n">
        <v>3</v>
      </c>
      <c r="F6" s="6" t="n">
        <v>3</v>
      </c>
      <c r="G6" s="7" t="n">
        <f aca="false">E6+F6</f>
        <v>6</v>
      </c>
      <c r="H6" s="4" t="s">
        <v>20</v>
      </c>
      <c r="I6" s="5" t="s">
        <v>21</v>
      </c>
    </row>
    <row r="7" customFormat="false" ht="49.5" hidden="false" customHeight="true" outlineLevel="0" collapsed="false">
      <c r="A7" s="4" t="s">
        <v>22</v>
      </c>
      <c r="B7" s="5" t="s">
        <v>23</v>
      </c>
      <c r="C7" s="5" t="s">
        <v>24</v>
      </c>
      <c r="D7" s="4" t="s">
        <v>25</v>
      </c>
      <c r="E7" s="6" t="n">
        <v>3</v>
      </c>
      <c r="F7" s="6" t="n">
        <v>3</v>
      </c>
      <c r="G7" s="7" t="n">
        <f aca="false">E7+F7</f>
        <v>6</v>
      </c>
      <c r="H7" s="4" t="s">
        <v>15</v>
      </c>
      <c r="I7" s="5" t="s">
        <v>26</v>
      </c>
    </row>
    <row r="8" customFormat="false" ht="49.5" hidden="false" customHeight="true" outlineLevel="0" collapsed="false">
      <c r="A8" s="4" t="s">
        <v>27</v>
      </c>
      <c r="B8" s="5" t="s">
        <v>28</v>
      </c>
      <c r="C8" s="5" t="s">
        <v>29</v>
      </c>
      <c r="D8" s="4" t="s">
        <v>30</v>
      </c>
      <c r="E8" s="6" t="n">
        <v>2</v>
      </c>
      <c r="F8" s="6" t="n">
        <v>3</v>
      </c>
      <c r="G8" s="7" t="n">
        <f aca="false">E8+F8</f>
        <v>5</v>
      </c>
      <c r="H8" s="4" t="s">
        <v>15</v>
      </c>
      <c r="I8" s="5" t="s">
        <v>31</v>
      </c>
    </row>
    <row r="9" customFormat="false" ht="49.5" hidden="false" customHeight="true" outlineLevel="0" collapsed="false">
      <c r="A9" s="4" t="s">
        <v>32</v>
      </c>
      <c r="B9" s="5" t="s">
        <v>33</v>
      </c>
      <c r="C9" s="5" t="s">
        <v>34</v>
      </c>
      <c r="D9" s="4" t="s">
        <v>35</v>
      </c>
      <c r="E9" s="6" t="n">
        <v>3</v>
      </c>
      <c r="F9" s="6" t="n">
        <v>2</v>
      </c>
      <c r="G9" s="7" t="n">
        <f aca="false">E9+F9</f>
        <v>5</v>
      </c>
      <c r="H9" s="4" t="s">
        <v>15</v>
      </c>
      <c r="I9" s="5" t="s">
        <v>36</v>
      </c>
    </row>
    <row r="10" customFormat="false" ht="49.5" hidden="false" customHeight="true" outlineLevel="0" collapsed="false">
      <c r="A10" s="4" t="s">
        <v>37</v>
      </c>
      <c r="B10" s="5" t="s">
        <v>38</v>
      </c>
      <c r="C10" s="5" t="s">
        <v>39</v>
      </c>
      <c r="D10" s="4" t="s">
        <v>40</v>
      </c>
      <c r="E10" s="6" t="n">
        <v>1</v>
      </c>
      <c r="F10" s="6" t="n">
        <v>2</v>
      </c>
      <c r="G10" s="7" t="n">
        <f aca="false">E10+F10</f>
        <v>3</v>
      </c>
      <c r="H10" s="4" t="s">
        <v>41</v>
      </c>
      <c r="I10" s="5" t="s">
        <v>42</v>
      </c>
    </row>
    <row r="12" customFormat="false" ht="15" hidden="false" customHeight="false" outlineLevel="0" collapsed="false">
      <c r="A12" s="8" t="s">
        <v>43</v>
      </c>
    </row>
    <row r="13" customFormat="false" ht="15" hidden="false" customHeight="false" outlineLevel="0" collapsed="false">
      <c r="A13" s="9" t="s">
        <v>44</v>
      </c>
      <c r="B13" s="9" t="n">
        <f aca="false">COUNTIF(H5:H10,"Retenu")</f>
        <v>4</v>
      </c>
    </row>
    <row r="14" customFormat="false" ht="15" hidden="false" customHeight="false" outlineLevel="0" collapsed="false">
      <c r="A14" s="9" t="s">
        <v>45</v>
      </c>
      <c r="B14" s="10" t="n">
        <f aca="false">AVERAGEIF(H5:H10,"Retenu",G5:G10)</f>
        <v>5.5</v>
      </c>
    </row>
    <row r="16" customFormat="false" ht="15" hidden="false" customHeight="false" outlineLevel="0" collapsed="false">
      <c r="A16" s="2" t="s">
        <v>46</v>
      </c>
    </row>
  </sheetData>
  <conditionalFormatting sqref="G5:G10">
    <cfRule type="cellIs" priority="2" operator="equal" aboveAverage="0" equalAverage="0" bottom="0" percent="0" rank="0" text="" dxfId="0">
      <formula>6</formula>
    </cfRule>
    <cfRule type="cellIs" priority="3" operator="equal" aboveAverage="0" equalAverage="0" bottom="0" percent="0" rank="0" text="" dxfId="1">
      <formula>5</formula>
    </cfRule>
    <cfRule type="cellIs" priority="4" operator="equal" aboveAverage="0" equalAverage="0" bottom="0" percent="0" rank="0" text="" dxfId="2">
      <formula>4</formula>
    </cfRule>
    <cfRule type="cellIs" priority="5" operator="lessThanOrEqual" aboveAverage="0" equalAverage="0" bottom="0" percent="0" rank="0" text="" dxfId="3">
      <formula>3</formula>
    </cfRule>
  </conditionalFormatting>
  <conditionalFormatting sqref="H5:H10">
    <cfRule type="expression" priority="6" aboveAverage="0" equalAverage="0" bottom="0" percent="0" rank="0" text="" dxfId="4">
      <formula>H5="Retenu"</formula>
    </cfRule>
    <cfRule type="expression" priority="7" aboveAverage="0" equalAverage="0" bottom="0" percent="0" rank="0" text="" dxfId="5">
      <formula>H5&lt;&gt;"Retenu"</formula>
    </cfRule>
  </conditionalFormatting>
  <dataValidations count="1">
    <dataValidation allowBlank="false" errorStyle="stop" operator="between" showDropDown="false" showErrorMessage="false" showInputMessage="false" sqref="E5:F10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2026-10-08T07:37:18Z</dcterms:created>
  <dc:creator>Ylayann Malouda Ribardiere</dc:creator>
  <dc:description/>
  <dc:language>en-US</dc:language>
  <cp:lastModifiedBy>Ylayann Malouda Ribardiere</cp:lastModifiedBy>
  <dcterms:modified xsi:type="dcterms:W3CDTF">2026-10-08T07:37:18Z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