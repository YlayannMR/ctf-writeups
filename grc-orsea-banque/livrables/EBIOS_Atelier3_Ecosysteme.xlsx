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Écosystè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<sst xmlns="http://schemas.openxmlformats.org/spreadsheetml/2006/main" count="47" uniqueCount="44">
  <si>
    <t xml:space="preserve">Orséa Banque – EBIOS RM, atelier 3 : cartographie de l'écosystème</t>
  </si>
  <si>
    <t xml:space="preserve">Criticité = (Dépendance × Pénétration) ÷ (Maturité × Confiance) · D et P de 0 à 4, M et C de 1 à 4</t>
  </si>
  <si>
    <t xml:space="preserve">ID</t>
  </si>
  <si>
    <t xml:space="preserve">Partie prenante</t>
  </si>
  <si>
    <t xml:space="preserve">Catégorie</t>
  </si>
  <si>
    <t xml:space="preserve">Actif support</t>
  </si>
  <si>
    <t xml:space="preserve">Dépendance</t>
  </si>
  <si>
    <t xml:space="preserve">Pénétration</t>
  </si>
  <si>
    <t xml:space="preserve">Maturité</t>
  </si>
  <si>
    <t xml:space="preserve">Confiance</t>
  </si>
  <si>
    <t xml:space="preserve">Criticité</t>
  </si>
  <si>
    <t xml:space="preserve">Rang</t>
  </si>
  <si>
    <t xml:space="preserve">Justification</t>
  </si>
  <si>
    <t xml:space="preserve">PP_06</t>
  </si>
  <si>
    <t xml:space="preserve">Clients</t>
  </si>
  <si>
    <t xml:space="preserve">Client</t>
  </si>
  <si>
    <t xml:space="preserve">—</t>
  </si>
  <si>
    <t xml:space="preserve">Population des 200 000 clients particuliers : accès limité à leur propre compte mais via l'appli, et très nombreux points d'entrée. Maturité cyber faible (phishing, vol d'identifiants, SIM swapping). Confiance réduite : une partie des comptes peut servir de mules (SR/OV_05). Principale porte d'entrée des scénarios de fraude (SR/OV_01).</t>
  </si>
  <si>
    <t xml:space="preserve">PP_05</t>
  </si>
  <si>
    <t xml:space="preserve">Support client externalisé</t>
  </si>
  <si>
    <t xml:space="preserve">Contractor</t>
  </si>
  <si>
    <t xml:space="preserve">AS_08</t>
  </si>
  <si>
    <t xml:space="preserve">Dépendance modérée (cohérente avec AM_05 D2) mais pénétration élevée, les agents pouvant modifier les coordonnées clients. Maturité et confiance faibles (rotation du personnel, accès humains nombreux). Vecteur privilégié de l'ingénierie sociale (ER_05) et de l'initié malveillant (SR/OV_04).</t>
  </si>
  <si>
    <t xml:space="preserve">PP_01</t>
  </si>
  <si>
    <t xml:space="preserve">Éditeur du core banking (SaaS)</t>
  </si>
  <si>
    <t xml:space="preserve">Supplier</t>
  </si>
  <si>
    <t xml:space="preserve">AS_02</t>
  </si>
  <si>
    <t xml:space="preserve">Dépendance et pénétration maximales. Maturité élevée (certifications, audits clients) mais risque de chaîne d'approvisionnement via ses mises à jour et sous-traitants (confiance 3 envisageable : criticité 1,78).</t>
  </si>
  <si>
    <t xml:space="preserve">PP_02</t>
  </si>
  <si>
    <t xml:space="preserve">AWS (hébergeur cloud)</t>
  </si>
  <si>
    <t xml:space="preserve">AS_03</t>
  </si>
  <si>
    <t xml:space="preserve">Héberge l'ensemble du SI : dépendance et pénétration maximales, compensées par une maturité et une confiance maximales.</t>
  </si>
  <si>
    <t xml:space="preserve">PP_03</t>
  </si>
  <si>
    <t xml:space="preserve">Processeur de paiement carte</t>
  </si>
  <si>
    <t xml:space="preserve">AS_05</t>
  </si>
  <si>
    <t xml:space="preserve">Aucun paiement sans lui (cohérent avec AM_02 D4). Accès aux données carte et au solde via API. Certifié PCI DSS. Cible privilégiée des cybercriminels (SR/OV_01).</t>
  </si>
  <si>
    <t xml:space="preserve">PP_04</t>
  </si>
  <si>
    <t xml:space="preserve">Prestataire KYC</t>
  </si>
  <si>
    <t xml:space="preserve">AS_06</t>
  </si>
  <si>
    <t xml:space="preserve">Dépendance limitée aux nouvelles entrées en relation (cohérent avec AM_03 D2). Détient les pièces d'identité de tous les clients. Point d'attention : détection des faux documents et deepfakes (SR/OV_05).</t>
  </si>
  <si>
    <t xml:space="preserve">Leçon</t>
  </si>
  <si>
    <t xml:space="preserve">Les parties prenantes les plus dangereuses sont celles où des humains peu protégés ont accès aux comptes (clients, support), pas les gros prestataires techniques.</t>
  </si>
  <si>
    <t xml:space="preserve">Règle de cohérence : la dépendance suit la note de disponibilité de l'actif métier dans le DICP.</t>
  </si>
  <si>
    <t xml:space="preserve">Notes en bleu modifiables ; criticité et rang recalculés automatiquement.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</si>
</sst>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F3D99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F3D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6" min="4" style="0" width="12"/>
    <col collapsed="false" customWidth="true" hidden="false" outlineLevel="0" max="9" min="7" style="0" width="11"/>
    <col collapsed="false" customWidth="true" hidden="false" outlineLevel="0" max="10" min="10" style="0" width="8"/>
    <col collapsed="false" customWidth="true" hidden="false" outlineLevel="0" max="11" min="11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61.5" hidden="false" customHeight="true" outlineLevel="0" collapsed="false">
      <c r="A5" s="4" t="s">
        <v>13</v>
      </c>
      <c r="B5" s="5" t="s">
        <v>14</v>
      </c>
      <c r="C5" s="4" t="s">
        <v>15</v>
      </c>
      <c r="D5" s="4" t="s">
        <v>16</v>
      </c>
      <c r="E5" s="6" t="n">
        <v>2</v>
      </c>
      <c r="F5" s="6" t="n">
        <v>3</v>
      </c>
      <c r="G5" s="6" t="n">
        <v>1</v>
      </c>
      <c r="H5" s="6" t="n">
        <v>2</v>
      </c>
      <c r="I5" s="7" t="n">
        <f aca="false">IFERROR((E5*F5)/(G5*H5),0)</f>
        <v>3</v>
      </c>
      <c r="J5" s="8" t="n">
        <f aca="false">RANK(I5,$I$5:$I$10)</f>
        <v>1</v>
      </c>
      <c r="K5" s="5" t="s">
        <v>17</v>
      </c>
    </row>
    <row r="6" customFormat="false" ht="61.5" hidden="false" customHeight="true" outlineLevel="0" collapsed="false">
      <c r="A6" s="4" t="s">
        <v>18</v>
      </c>
      <c r="B6" s="5" t="s">
        <v>19</v>
      </c>
      <c r="C6" s="4" t="s">
        <v>20</v>
      </c>
      <c r="D6" s="4" t="s">
        <v>21</v>
      </c>
      <c r="E6" s="6" t="n">
        <v>2</v>
      </c>
      <c r="F6" s="6" t="n">
        <v>3</v>
      </c>
      <c r="G6" s="6" t="n">
        <v>2</v>
      </c>
      <c r="H6" s="6" t="n">
        <v>2</v>
      </c>
      <c r="I6" s="7" t="n">
        <f aca="false">IFERROR((E6*F6)/(G6*H6),0)</f>
        <v>1.5</v>
      </c>
      <c r="J6" s="8" t="n">
        <f aca="false">RANK(I6,$I$5:$I$10)</f>
        <v>2</v>
      </c>
      <c r="K6" s="5" t="s">
        <v>22</v>
      </c>
    </row>
    <row r="7" customFormat="false" ht="61.5" hidden="false" customHeight="true" outlineLevel="0" collapsed="false">
      <c r="A7" s="4" t="s">
        <v>23</v>
      </c>
      <c r="B7" s="5" t="s">
        <v>24</v>
      </c>
      <c r="C7" s="4" t="s">
        <v>25</v>
      </c>
      <c r="D7" s="4" t="s">
        <v>26</v>
      </c>
      <c r="E7" s="6" t="n">
        <v>4</v>
      </c>
      <c r="F7" s="6" t="n">
        <v>4</v>
      </c>
      <c r="G7" s="6" t="n">
        <v>3</v>
      </c>
      <c r="H7" s="6" t="n">
        <v>4</v>
      </c>
      <c r="I7" s="7" t="n">
        <f aca="false">IFERROR((E7*F7)/(G7*H7),0)</f>
        <v>1.33333333333333</v>
      </c>
      <c r="J7" s="8" t="n">
        <f aca="false">RANK(I7,$I$5:$I$10)</f>
        <v>3</v>
      </c>
      <c r="K7" s="5" t="s">
        <v>27</v>
      </c>
    </row>
    <row r="8" customFormat="false" ht="61.5" hidden="false" customHeight="true" outlineLevel="0" collapsed="false">
      <c r="A8" s="4" t="s">
        <v>28</v>
      </c>
      <c r="B8" s="5" t="s">
        <v>29</v>
      </c>
      <c r="C8" s="4" t="s">
        <v>25</v>
      </c>
      <c r="D8" s="4" t="s">
        <v>30</v>
      </c>
      <c r="E8" s="6" t="n">
        <v>4</v>
      </c>
      <c r="F8" s="6" t="n">
        <v>4</v>
      </c>
      <c r="G8" s="6" t="n">
        <v>4</v>
      </c>
      <c r="H8" s="6" t="n">
        <v>4</v>
      </c>
      <c r="I8" s="7" t="n">
        <f aca="false">IFERROR((E8*F8)/(G8*H8),0)</f>
        <v>1</v>
      </c>
      <c r="J8" s="8" t="n">
        <f aca="false">RANK(I8,$I$5:$I$10)</f>
        <v>4</v>
      </c>
      <c r="K8" s="5" t="s">
        <v>31</v>
      </c>
    </row>
    <row r="9" customFormat="false" ht="61.5" hidden="false" customHeight="true" outlineLevel="0" collapsed="false">
      <c r="A9" s="4" t="s">
        <v>32</v>
      </c>
      <c r="B9" s="5" t="s">
        <v>33</v>
      </c>
      <c r="C9" s="4" t="s">
        <v>25</v>
      </c>
      <c r="D9" s="4" t="s">
        <v>34</v>
      </c>
      <c r="E9" s="6" t="n">
        <v>4</v>
      </c>
      <c r="F9" s="6" t="n">
        <v>3</v>
      </c>
      <c r="G9" s="6" t="n">
        <v>3</v>
      </c>
      <c r="H9" s="6" t="n">
        <v>4</v>
      </c>
      <c r="I9" s="7" t="n">
        <f aca="false">IFERROR((E9*F9)/(G9*H9),0)</f>
        <v>1</v>
      </c>
      <c r="J9" s="8" t="n">
        <f aca="false">RANK(I9,$I$5:$I$10)</f>
        <v>4</v>
      </c>
      <c r="K9" s="5" t="s">
        <v>35</v>
      </c>
    </row>
    <row r="10" customFormat="false" ht="61.5" hidden="false" customHeight="true" outlineLevel="0" collapsed="false">
      <c r="A10" s="4" t="s">
        <v>36</v>
      </c>
      <c r="B10" s="5" t="s">
        <v>37</v>
      </c>
      <c r="C10" s="4" t="s">
        <v>25</v>
      </c>
      <c r="D10" s="4" t="s">
        <v>38</v>
      </c>
      <c r="E10" s="6" t="n">
        <v>2</v>
      </c>
      <c r="F10" s="6" t="n">
        <v>3</v>
      </c>
      <c r="G10" s="6" t="n">
        <v>3</v>
      </c>
      <c r="H10" s="6" t="n">
        <v>3</v>
      </c>
      <c r="I10" s="7" t="n">
        <f aca="false">IFERROR((E10*F10)/(G10*H10),0)</f>
        <v>0.666666666666667</v>
      </c>
      <c r="J10" s="8" t="n">
        <f aca="false">RANK(I10,$I$5:$I$10)</f>
        <v>6</v>
      </c>
      <c r="K10" s="5" t="s">
        <v>39</v>
      </c>
    </row>
    <row r="12" customFormat="false" ht="15" hidden="false" customHeight="false" outlineLevel="0" collapsed="false">
      <c r="A12" s="9" t="s">
        <v>40</v>
      </c>
    </row>
    <row r="13" customFormat="false" ht="15" hidden="false" customHeight="false" outlineLevel="0" collapsed="false">
      <c r="A13" s="2" t="s">
        <v>41</v>
      </c>
    </row>
    <row r="14" customFormat="false" ht="15" hidden="false" customHeight="false" outlineLevel="0" collapsed="false">
      <c r="A14" s="2" t="s">
        <v>42</v>
      </c>
    </row>
    <row r="15" customFormat="false" ht="15" hidden="false" customHeight="false" outlineLevel="0" collapsed="false">
      <c r="A15" s="2" t="s">
        <v>43</v>
      </c>
    </row>
  </sheetData>
  <conditionalFormatting sqref="I5:I10">
    <cfRule type="colorScale" priority="2">
      <colorScale>
        <cfvo type="min" val="0"/>
        <cfvo type="percentile" val="50"/>
        <cfvo type="max" val="0"/>
        <color rgb="FFCDEBC4"/>
        <color rgb="FFFFF2B3"/>
        <color rgb="FFF4B6B6"/>
      </colorScale>
    </cfRule>
  </conditionalFormatting>
  <dataValidations count="2">
    <dataValidation allowBlank="false" errorStyle="stop" operator="between" showDropDown="false" showErrorMessage="false" showInputMessage="false" sqref="E5:F10" type="whole">
      <formula1>0</formula1>
      <formula2>4</formula2>
    </dataValidation>
    <dataValidation allowBlank="false" errorStyle="stop" operator="between" showDropDown="false" showErrorMessage="false" showInputMessage="false" sqref="G5:H10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2026-10-08T08:03:49Z</dcterms:created>
  <dc:creator>Ylayann Malouda Ribardiere</dc:creator>
  <dc:description/>
  <dc:language>en-US</dc:language>
  <cp:lastModifiedBy>Ylayann Malouda Ribardiere</cp:lastModifiedBy>
  <dcterms:modified xsi:type="dcterms:W3CDTF">2026-10-08T08:03:49Z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