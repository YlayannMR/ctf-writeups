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_rels/sheet1.xml.rels" ContentType="application/vnd.openxmlformats-package.relationship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Plan de traitement" sheetId="1" state="visible" r:id="rId3"/>
    <sheet name="Acceptation risques résiduels" sheetId="2" state="visible" r:id="rId4"/>
    <sheet name="Synthèse" sheetId="3" state="visible" r:id="rId5"/>
  </sheets>
  <definedNames>
    <definedName function="false" hidden="true" localSheetId="0" name="_xlnm._FilterDatabase" vbProcedure="false">'Plan de traitement'!$A$1:$L$23</definedName>
  </definedName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<sst xmlns="http://schemas.openxmlformats.org/spreadsheetml/2006/main" count="334" uniqueCount="164">
  <si>
    <t xml:space="preserve">ID</t>
  </si>
  <si>
    <t xml:space="preserve">Mesure</t>
  </si>
  <si>
    <t xml:space="preserve">Catégorie</t>
  </si>
  <si>
    <t xml:space="preserve">Priorité</t>
  </si>
  <si>
    <t xml:space="preserve">Responsable</t>
  </si>
  <si>
    <t xml:space="preserve">Risques traités</t>
  </si>
  <si>
    <t xml:space="preserve">Contrôles Annexe A</t>
  </si>
  <si>
    <t xml:space="preserve">Échéance</t>
  </si>
  <si>
    <t xml:space="preserve">Effort</t>
  </si>
  <si>
    <t xml:space="preserve">Coût estimé an 1 (k€)</t>
  </si>
  <si>
    <t xml:space="preserve">Statut</t>
  </si>
  <si>
    <t xml:space="preserve">Indicateur de suivi</t>
  </si>
  <si>
    <t xml:space="preserve">M_01</t>
  </si>
  <si>
    <t xml:space="preserve">Authentification forte des clients</t>
  </si>
  <si>
    <t xml:space="preserve">Technical</t>
  </si>
  <si>
    <t xml:space="preserve">—</t>
  </si>
  <si>
    <t xml:space="preserve">DSI</t>
  </si>
  <si>
    <t xml:space="preserve">CA_01, CA_07</t>
  </si>
  <si>
    <t xml:space="preserve">5.17, 8.5</t>
  </si>
  <si>
    <t xml:space="preserve">En place</t>
  </si>
  <si>
    <t xml:space="preserve">Active</t>
  </si>
  <si>
    <t xml:space="preserve">Taux de connexions clients avec authentification forte</t>
  </si>
  <si>
    <t xml:space="preserve">M_02</t>
  </si>
  <si>
    <t xml:space="preserve">Alertes anti-phishing dans l'appli et campagnes de sensibilisation</t>
  </si>
  <si>
    <t xml:space="preserve">Process</t>
  </si>
  <si>
    <t xml:space="preserve">P2</t>
  </si>
  <si>
    <t xml:space="preserve">Responsable produit (appli)</t>
  </si>
  <si>
    <t xml:space="preserve">CA_01</t>
  </si>
  <si>
    <t xml:space="preserve">8.26</t>
  </si>
  <si>
    <t xml:space="preserve">30/06/2027</t>
  </si>
  <si>
    <t xml:space="preserve">M</t>
  </si>
  <si>
    <t xml:space="preserve">To do</t>
  </si>
  <si>
    <t xml:space="preserve">Nombre de clients touchés par les campagnes</t>
  </si>
  <si>
    <t xml:space="preserve">M_03</t>
  </si>
  <si>
    <t xml:space="preserve">Délai de sécurité de 24h avant le premier virement vers un nouveau bénéficiaire</t>
  </si>
  <si>
    <t xml:space="preserve">P1</t>
  </si>
  <si>
    <t xml:space="preserve">31/01/2027</t>
  </si>
  <si>
    <t xml:space="preserve">S</t>
  </si>
  <si>
    <t xml:space="preserve">Montant de fraude évité pendant le délai</t>
  </si>
  <si>
    <t xml:space="preserve">M_04</t>
  </si>
  <si>
    <t xml:space="preserve">Détection des connexions inhabituelles</t>
  </si>
  <si>
    <t xml:space="preserve">RSSI</t>
  </si>
  <si>
    <t xml:space="preserve">8.16</t>
  </si>
  <si>
    <t xml:space="preserve">31/03/2027</t>
  </si>
  <si>
    <t xml:space="preserve">Nombre d'alertes de connexion traitées</t>
  </si>
  <si>
    <t xml:space="preserve">M_05</t>
  </si>
  <si>
    <t xml:space="preserve">Validation par les clients de tout changement de coordonnées</t>
  </si>
  <si>
    <t xml:space="preserve">30/04/2027</t>
  </si>
  <si>
    <t xml:space="preserve">Changements de coordonnées validés / total</t>
  </si>
  <si>
    <t xml:space="preserve">M_06</t>
  </si>
  <si>
    <t xml:space="preserve">Moindre privilège des agents du support</t>
  </si>
  <si>
    <t xml:space="preserve">Directeur relation client</t>
  </si>
  <si>
    <t xml:space="preserve">CA_05</t>
  </si>
  <si>
    <t xml:space="preserve">5.15, 5.18, 5.34, 8.3, 8.11</t>
  </si>
  <si>
    <t xml:space="preserve">Nombre de droits excessifs retirés</t>
  </si>
  <si>
    <t xml:space="preserve">M_07</t>
  </si>
  <si>
    <t xml:space="preserve">Journalisation et revue des actions du support</t>
  </si>
  <si>
    <t xml:space="preserve">5.28, 5.33, 8.15</t>
  </si>
  <si>
    <t xml:space="preserve">Revues de journaux réalisées / prévues</t>
  </si>
  <si>
    <t xml:space="preserve">M_08</t>
  </si>
  <si>
    <t xml:space="preserve">Clauses de sécurité du prestataire de support</t>
  </si>
  <si>
    <t xml:space="preserve">Policy</t>
  </si>
  <si>
    <t xml:space="preserve">Achats / Juridique</t>
  </si>
  <si>
    <t xml:space="preserve">5.19, 5.20, 6.6</t>
  </si>
  <si>
    <t xml:space="preserve">Contrat signé avec clauses de sécurité</t>
  </si>
  <si>
    <t xml:space="preserve">M_09</t>
  </si>
  <si>
    <t xml:space="preserve">Clauses contractuelles DORA</t>
  </si>
  <si>
    <t xml:space="preserve">CA_02, CA_04</t>
  </si>
  <si>
    <t xml:space="preserve">5.14, 5.19, 5.20, 5.21, 5.22, 5.23, 5.31, 8.21, 8.30</t>
  </si>
  <si>
    <t xml:space="preserve">Contrats critiques conformes DORA art. 30 / total</t>
  </si>
  <si>
    <t xml:space="preserve">M_10</t>
  </si>
  <si>
    <t xml:space="preserve">Test des mises à jour en préproduction</t>
  </si>
  <si>
    <t xml:space="preserve">CA_04</t>
  </si>
  <si>
    <t xml:space="preserve">5.21, 8.19, 8.29, 8.30, 8.31, 8.32, 8.33</t>
  </si>
  <si>
    <t xml:space="preserve">Mises à jour testées avant production / total</t>
  </si>
  <si>
    <t xml:space="preserve">M_12</t>
  </si>
  <si>
    <t xml:space="preserve">MFA sur les comptes administrateurs</t>
  </si>
  <si>
    <t xml:space="preserve">CA_03, CA_04</t>
  </si>
  <si>
    <t xml:space="preserve">5.17, 6.7, 8.2, 8.5, 8.18</t>
  </si>
  <si>
    <t xml:space="preserve">Couverture MFA des comptes à privilèges (%)</t>
  </si>
  <si>
    <t xml:space="preserve">M_13</t>
  </si>
  <si>
    <t xml:space="preserve">Sauvegardes isolées et immuables</t>
  </si>
  <si>
    <t xml:space="preserve">5.29, 5.30, 5.37, 8.13, 8.14</t>
  </si>
  <si>
    <t xml:space="preserve">L</t>
  </si>
  <si>
    <t xml:space="preserve">Taux de réussite des tests de restauration</t>
  </si>
  <si>
    <t xml:space="preserve">M_14</t>
  </si>
  <si>
    <t xml:space="preserve">EDR et supervision SOC</t>
  </si>
  <si>
    <t xml:space="preserve">CA_03, CA_04, CA_05</t>
  </si>
  <si>
    <t xml:space="preserve">5.7, 5.25, 6.7, 7.9, 7.10, 8.1, 8.7, 8.16, 8.23</t>
  </si>
  <si>
    <t xml:space="preserve">Couverture EDR des postes et serveurs (%)</t>
  </si>
  <si>
    <t xml:space="preserve">M_15</t>
  </si>
  <si>
    <t xml:space="preserve">Sensibilisation et campagnes de phishing</t>
  </si>
  <si>
    <t xml:space="preserve">CA_03</t>
  </si>
  <si>
    <t xml:space="preserve">6.3, 6.8, 7.7</t>
  </si>
  <si>
    <t xml:space="preserve">Taux de clic aux simulations de phishing</t>
  </si>
  <si>
    <t xml:space="preserve">M_16</t>
  </si>
  <si>
    <t xml:space="preserve">Plan de crise cyber et notification DORA</t>
  </si>
  <si>
    <t xml:space="preserve">CA_01, CA_02, CA_03, CA_04</t>
  </si>
  <si>
    <t xml:space="preserve">5.5, 5.24, 5.25, 5.26, 5.27, 5.29, 6.8</t>
  </si>
  <si>
    <t xml:space="preserve">Exercice de crise réalisé ; délai de notification ACPR</t>
  </si>
  <si>
    <t xml:space="preserve">M_17</t>
  </si>
  <si>
    <t xml:space="preserve">KYC renforcé (liveness / détection deepfake)</t>
  </si>
  <si>
    <t xml:space="preserve">Directeur de la conformité</t>
  </si>
  <si>
    <t xml:space="preserve">CA_06</t>
  </si>
  <si>
    <t xml:space="preserve">Ouvertures frauduleuses détectées</t>
  </si>
  <si>
    <t xml:space="preserve">M_18</t>
  </si>
  <si>
    <t xml:space="preserve">Plafonds réduits et surveillance des nouveaux comptes</t>
  </si>
  <si>
    <t xml:space="preserve">CA_06, CA_07</t>
  </si>
  <si>
    <t xml:space="preserve">Montants bloqués sur nouveaux comptes</t>
  </si>
  <si>
    <t xml:space="preserve">M_19</t>
  </si>
  <si>
    <t xml:space="preserve">Surveillance LCB-FT et déclarations Tracfin</t>
  </si>
  <si>
    <t xml:space="preserve">CA_01, CA_05, CA_06, CA_07</t>
  </si>
  <si>
    <t xml:space="preserve">5.5, 5.31, 8.16</t>
  </si>
  <si>
    <t xml:space="preserve">Nombre de déclarations de soupçon Tracfin</t>
  </si>
  <si>
    <t xml:space="preserve">M_20</t>
  </si>
  <si>
    <t xml:space="preserve">Campagnes contre le recrutement de mules</t>
  </si>
  <si>
    <t xml:space="preserve">P3</t>
  </si>
  <si>
    <t xml:space="preserve">Communication / Conformité</t>
  </si>
  <si>
    <t xml:space="preserve">CA_01, CA_06, CA_07</t>
  </si>
  <si>
    <t xml:space="preserve">31/12/2027</t>
  </si>
  <si>
    <t xml:space="preserve">Nombre de comptes mules détectés</t>
  </si>
  <si>
    <t xml:space="preserve">M_21</t>
  </si>
  <si>
    <t xml:space="preserve">Cyber-assurance</t>
  </si>
  <si>
    <t xml:space="preserve">Directeur financier</t>
  </si>
  <si>
    <t xml:space="preserve">CA_02</t>
  </si>
  <si>
    <t xml:space="preserve">Contrat souscrit ; montant de couverture</t>
  </si>
  <si>
    <t xml:space="preserve">M_22</t>
  </si>
  <si>
    <t xml:space="preserve">Revue des habilitations et séparation des tâches</t>
  </si>
  <si>
    <t xml:space="preserve">5.3, 5.11, 5.15, 5.16, 5.18, 5.34, 6.5, 8.4</t>
  </si>
  <si>
    <t xml:space="preserve">Revues trimestrielles réalisées ; droits retirés</t>
  </si>
  <si>
    <t xml:space="preserve">M_23</t>
  </si>
  <si>
    <t xml:space="preserve">Journalisation et surveillance des actions privilégiées</t>
  </si>
  <si>
    <t xml:space="preserve">5.28, 5.33, 8.2, 8.12, 8.15, 8.16, 8.17</t>
  </si>
  <si>
    <t xml:space="preserve">Alertes SOC sur comptes internes traitées</t>
  </si>
  <si>
    <t xml:space="preserve">Total</t>
  </si>
  <si>
    <t xml:space="preserve">Hypothèse : les coûts (en bleu) sont des ordres de grandeur fictifs pour une néobanque de taille moyenne, à affiner avec les devis. M_11 non reprise (à compléter). Effort : S = quelques jours, M = quelques semaines, L = plusieurs mois.</t>
  </si>
  <si>
    <t xml:space="preserve">Risque</t>
  </si>
  <si>
    <t xml:space="preserve">Scénario</t>
  </si>
  <si>
    <t xml:space="preserve">Niveau initial</t>
  </si>
  <si>
    <t xml:space="preserve">Stratégie</t>
  </si>
  <si>
    <t xml:space="preserve">Niveau résiduel</t>
  </si>
  <si>
    <t xml:space="preserve">Propriétaire du risque</t>
  </si>
  <si>
    <t xml:space="preserve">Décision</t>
  </si>
  <si>
    <t xml:space="preserve">Date</t>
  </si>
  <si>
    <t xml:space="preserve">Visa</t>
  </si>
  <si>
    <t xml:space="preserve">Cybercriminel, fraude aux paiements – Phishing des clients</t>
  </si>
  <si>
    <t xml:space="preserve">High</t>
  </si>
  <si>
    <t xml:space="preserve">Réduire</t>
  </si>
  <si>
    <t xml:space="preserve">Medium</t>
  </si>
  <si>
    <t xml:space="preserve">Directeur des opérations bancaires</t>
  </si>
  <si>
    <t xml:space="preserve">Acceptation du risque résiduel</t>
  </si>
  <si>
    <t xml:space="preserve">Cybercriminel, fraude aux paiements – Compromission du processeur de paiement</t>
  </si>
  <si>
    <t xml:space="preserve">Transférer</t>
  </si>
  <si>
    <t xml:space="preserve">Rançongiciel, extorsion – Phishing des collaborateurs</t>
  </si>
  <si>
    <t xml:space="preserve">Low</t>
  </si>
  <si>
    <t xml:space="preserve">Rançongiciel, extorsion – Compromission de l'éditeur du core banking</t>
  </si>
  <si>
    <t xml:space="preserve">Initié malveillant, abus d'accès – Corruption par agent</t>
  </si>
  <si>
    <t xml:space="preserve">Blanchiment, comptes mules – Comptes mules pour blanchiment</t>
  </si>
  <si>
    <t xml:space="preserve">CA_07</t>
  </si>
  <si>
    <t xml:space="preserve">Blanchiment, comptes mules – Mules par le biais de vrais clients</t>
  </si>
  <si>
    <t xml:space="preserve">ISO 27001 clause 6.1.3 f) : les propriétaires des risques approuvent le plan de traitement et acceptent les risques résiduels. Date et visa à compléter lors de la validation en comité.</t>
  </si>
  <si>
    <t xml:space="preserve">Nombre de mesures</t>
  </si>
  <si>
    <t xml:space="preserve">Coût estimé (k€)</t>
  </si>
  <si>
    <t xml:space="preserve">Part du budget</t>
  </si>
</sst>
</file>

<file path=xl/styles.xml><?xml version="1.0" encoding="utf-8"?>
<styleSheet xmlns="http://schemas.openxmlformats.org/spreadsheetml/2006/main">
  <numFmts count="4">
    <numFmt numFmtId="164" formatCode="General"/>
    <numFmt numFmtId="165" formatCode="#,##0;\(#,##0\);\-"/>
    <numFmt numFmtId="166" formatCode="#,##0"/>
    <numFmt numFmtId="167" formatCode="0%"/>
  </numFmts>
  <fonts count="10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1"/>
      <color rgb="FFFFFFFF"/>
      <name val="Arial"/>
      <family val="0"/>
      <charset val="1"/>
    </font>
    <font>
      <sz val="10"/>
      <name val="Arial"/>
      <family val="0"/>
      <charset val="1"/>
    </font>
    <font>
      <sz val="10"/>
      <color rgb="FF0000FF"/>
      <name val="Arial"/>
      <family val="0"/>
      <charset val="1"/>
    </font>
    <font>
      <b val="true"/>
      <sz val="11"/>
      <name val="Arial"/>
      <family val="0"/>
      <charset val="1"/>
    </font>
    <font>
      <i val="true"/>
      <sz val="9"/>
      <name val="Arial"/>
      <family val="0"/>
      <charset val="1"/>
    </font>
    <font>
      <sz val="11"/>
      <name val="Arial"/>
      <family val="0"/>
      <charset val="1"/>
    </font>
  </fonts>
  <fills count="3">
    <fill>
      <patternFill patternType="none"/>
    </fill>
    <fill>
      <patternFill patternType="gray125"/>
    </fill>
    <fill>
      <patternFill patternType="solid">
        <fgColor rgb="FF1F3864"/>
        <bgColor rgb="FF333333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12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2" borderId="1" xfId="0" applyFont="true" applyBorder="true" applyAlignment="true" applyProtection="false">
      <alignment horizontal="general" vertical="center" textRotation="0" wrapText="true" indent="0" shrinkToFit="false"/>
      <protection locked="true" hidden="false"/>
    </xf>
    <xf numFmtId="164" fontId="5" fillId="0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5" fontId="6" fillId="0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7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6" fontId="7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8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9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7" fontId="9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7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7" fontId="7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9" fillId="2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dxfs count="11">
    <dxf>
      <fill>
        <patternFill patternType="solid">
          <fgColor rgb="FF1F3864"/>
          <bgColor rgb="FF000000"/>
        </patternFill>
      </fill>
    </dxf>
    <dxf>
      <fill>
        <patternFill patternType="solid">
          <bgColor rgb="FF000000"/>
        </patternFill>
      </fill>
    </dxf>
    <dxf>
      <fill>
        <patternFill patternType="solid">
          <fgColor rgb="FFFFFFFF"/>
          <bgColor rgb="FF000000"/>
        </patternFill>
      </fill>
    </dxf>
    <dxf>
      <fill>
        <patternFill patternType="solid">
          <fgColor rgb="FFDDEBF7"/>
          <bgColor rgb="FF000000"/>
        </patternFill>
      </fill>
    </dxf>
    <dxf>
      <fill>
        <patternFill patternType="solid">
          <fgColor rgb="FFF8CBAD"/>
          <bgColor rgb="FF000000"/>
        </patternFill>
      </fill>
    </dxf>
    <dxf>
      <fill>
        <patternFill patternType="solid">
          <fgColor rgb="FFFFE699"/>
          <bgColor rgb="FF000000"/>
        </patternFill>
      </fill>
    </dxf>
    <dxf>
      <fill>
        <patternFill patternType="solid">
          <fgColor rgb="FF0000FF"/>
          <bgColor rgb="FF000000"/>
        </patternFill>
      </fill>
    </dxf>
    <dxf>
      <fill>
        <patternFill>
          <bgColor rgb="FFF8CBAD"/>
        </patternFill>
      </fill>
    </dxf>
    <dxf>
      <fill>
        <patternFill>
          <bgColor rgb="FFFFE699"/>
        </patternFill>
      </fill>
    </dxf>
    <dxf>
      <fill>
        <patternFill>
          <bgColor rgb="FFDDEBF7"/>
        </patternFill>
      </fill>
    </dxf>
    <dxf>
      <fill>
        <patternFill>
          <bgColor rgb="FFC6EFCE"/>
        </patternFill>
      </fill>
    </dxf>
  </dxf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BFBFBF"/>
      <rgbColor rgb="FF808080"/>
      <rgbColor rgb="FF9999FF"/>
      <rgbColor rgb="FF993366"/>
      <rgbColor rgb="FFFFFFCC"/>
      <rgbColor rgb="FFDDEBF7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6EFCE"/>
      <rgbColor rgb="FFFFE699"/>
      <rgbColor rgb="FF99CCFF"/>
      <rgbColor rgb="FFFF99CC"/>
      <rgbColor rgb="FFCC99FF"/>
      <rgbColor rgb="FFF8CBAD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1F3864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sharedStrings" Target="sharedStrings.xml"/>
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_rels/sheet1.xml.rels><?xml version="1.0" encoding="UTF-8"?>
<Relationships xmlns="http://schemas.openxmlformats.org/package/2006/relationships"><Relationship Id="rId1" Type="http://schemas.openxmlformats.org/officeDocument/2006/relationships/drawing" Target="../drawings/drawing1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L26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pane xSplit="2" ySplit="1" topLeftCell="C2" activePane="bottomRight" state="frozen"/>
      <selection pane="topLeft" activeCell="A1" activeCellId="0" sqref="A1"/>
      <selection pane="topRight" activeCell="C1" activeCellId="0" sqref="C1"/>
      <selection pane="bottomLeft" activeCell="A2" activeCellId="0" sqref="A2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7"/>
    <col collapsed="false" customWidth="true" hidden="false" outlineLevel="0" max="2" min="2" style="0" width="44"/>
    <col collapsed="false" customWidth="true" hidden="false" outlineLevel="0" max="3" min="3" style="0" width="11"/>
    <col collapsed="false" customWidth="true" hidden="false" outlineLevel="0" max="4" min="4" style="0" width="9"/>
    <col collapsed="false" customWidth="true" hidden="false" outlineLevel="0" max="5" min="5" style="0" width="24"/>
    <col collapsed="false" customWidth="true" hidden="false" outlineLevel="0" max="6" min="6" style="0" width="22"/>
    <col collapsed="false" customWidth="true" hidden="false" outlineLevel="0" max="7" min="7" style="0" width="26"/>
    <col collapsed="false" customWidth="true" hidden="false" outlineLevel="0" max="8" min="8" style="0" width="12"/>
    <col collapsed="false" customWidth="true" hidden="false" outlineLevel="0" max="9" min="9" style="0" width="8"/>
    <col collapsed="false" customWidth="true" hidden="false" outlineLevel="0" max="10" min="10" style="0" width="13"/>
    <col collapsed="false" customWidth="true" hidden="false" outlineLevel="0" max="11" min="11" style="0" width="9"/>
    <col collapsed="false" customWidth="true" hidden="false" outlineLevel="0" max="12" min="12" style="0" width="40"/>
  </cols>
  <sheetData>
    <row r="1" customFormat="false" ht="39.55" hidden="false" customHeight="false" outlineLevel="0" collapsed="false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</row>
    <row r="2" customFormat="false" ht="23.85" hidden="false" customHeight="false" outlineLevel="0" collapsed="false">
      <c r="A2" s="2" t="s">
        <v>12</v>
      </c>
      <c r="B2" s="2" t="s">
        <v>13</v>
      </c>
      <c r="C2" s="2" t="s">
        <v>14</v>
      </c>
      <c r="D2" s="2" t="s">
        <v>15</v>
      </c>
      <c r="E2" s="2" t="s">
        <v>16</v>
      </c>
      <c r="F2" s="2" t="s">
        <v>17</v>
      </c>
      <c r="G2" s="2" t="s">
        <v>18</v>
      </c>
      <c r="H2" s="2" t="s">
        <v>19</v>
      </c>
      <c r="I2" s="2" t="s">
        <v>15</v>
      </c>
      <c r="J2" s="3" t="n">
        <v>0</v>
      </c>
      <c r="K2" s="2" t="s">
        <v>20</v>
      </c>
      <c r="L2" s="2" t="s">
        <v>21</v>
      </c>
    </row>
    <row r="3" customFormat="false" ht="23.85" hidden="false" customHeight="false" outlineLevel="0" collapsed="false">
      <c r="A3" s="2" t="s">
        <v>22</v>
      </c>
      <c r="B3" s="2" t="s">
        <v>23</v>
      </c>
      <c r="C3" s="2" t="s">
        <v>24</v>
      </c>
      <c r="D3" s="2" t="s">
        <v>25</v>
      </c>
      <c r="E3" s="2" t="s">
        <v>26</v>
      </c>
      <c r="F3" s="2" t="s">
        <v>27</v>
      </c>
      <c r="G3" s="2" t="s">
        <v>28</v>
      </c>
      <c r="H3" s="2" t="s">
        <v>29</v>
      </c>
      <c r="I3" s="2" t="s">
        <v>30</v>
      </c>
      <c r="J3" s="3" t="n">
        <v>15</v>
      </c>
      <c r="K3" s="2" t="s">
        <v>31</v>
      </c>
      <c r="L3" s="2" t="s">
        <v>32</v>
      </c>
    </row>
    <row r="4" customFormat="false" ht="23.85" hidden="false" customHeight="false" outlineLevel="0" collapsed="false">
      <c r="A4" s="2" t="s">
        <v>33</v>
      </c>
      <c r="B4" s="2" t="s">
        <v>34</v>
      </c>
      <c r="C4" s="2" t="s">
        <v>14</v>
      </c>
      <c r="D4" s="2" t="s">
        <v>35</v>
      </c>
      <c r="E4" s="2" t="s">
        <v>26</v>
      </c>
      <c r="F4" s="2" t="s">
        <v>17</v>
      </c>
      <c r="G4" s="2" t="s">
        <v>28</v>
      </c>
      <c r="H4" s="2" t="s">
        <v>36</v>
      </c>
      <c r="I4" s="2" t="s">
        <v>37</v>
      </c>
      <c r="J4" s="3" t="n">
        <v>10</v>
      </c>
      <c r="K4" s="2" t="s">
        <v>31</v>
      </c>
      <c r="L4" s="2" t="s">
        <v>38</v>
      </c>
    </row>
    <row r="5" customFormat="false" ht="15" hidden="false" customHeight="false" outlineLevel="0" collapsed="false">
      <c r="A5" s="2" t="s">
        <v>39</v>
      </c>
      <c r="B5" s="2" t="s">
        <v>40</v>
      </c>
      <c r="C5" s="2" t="s">
        <v>14</v>
      </c>
      <c r="D5" s="2" t="s">
        <v>35</v>
      </c>
      <c r="E5" s="2" t="s">
        <v>41</v>
      </c>
      <c r="F5" s="2" t="s">
        <v>27</v>
      </c>
      <c r="G5" s="2" t="s">
        <v>42</v>
      </c>
      <c r="H5" s="2" t="s">
        <v>43</v>
      </c>
      <c r="I5" s="2" t="s">
        <v>30</v>
      </c>
      <c r="J5" s="3" t="n">
        <v>40</v>
      </c>
      <c r="K5" s="2" t="s">
        <v>31</v>
      </c>
      <c r="L5" s="2" t="s">
        <v>44</v>
      </c>
    </row>
    <row r="6" customFormat="false" ht="23.85" hidden="false" customHeight="false" outlineLevel="0" collapsed="false">
      <c r="A6" s="2" t="s">
        <v>45</v>
      </c>
      <c r="B6" s="2" t="s">
        <v>46</v>
      </c>
      <c r="C6" s="2" t="s">
        <v>14</v>
      </c>
      <c r="D6" s="2" t="s">
        <v>25</v>
      </c>
      <c r="E6" s="2" t="s">
        <v>26</v>
      </c>
      <c r="F6" s="2" t="s">
        <v>27</v>
      </c>
      <c r="G6" s="2" t="s">
        <v>28</v>
      </c>
      <c r="H6" s="2" t="s">
        <v>47</v>
      </c>
      <c r="I6" s="2" t="s">
        <v>37</v>
      </c>
      <c r="J6" s="3" t="n">
        <v>10</v>
      </c>
      <c r="K6" s="2" t="s">
        <v>31</v>
      </c>
      <c r="L6" s="2" t="s">
        <v>48</v>
      </c>
    </row>
    <row r="7" customFormat="false" ht="15" hidden="false" customHeight="false" outlineLevel="0" collapsed="false">
      <c r="A7" s="2" t="s">
        <v>49</v>
      </c>
      <c r="B7" s="2" t="s">
        <v>50</v>
      </c>
      <c r="C7" s="2" t="s">
        <v>14</v>
      </c>
      <c r="D7" s="2" t="s">
        <v>35</v>
      </c>
      <c r="E7" s="2" t="s">
        <v>51</v>
      </c>
      <c r="F7" s="2" t="s">
        <v>52</v>
      </c>
      <c r="G7" s="2" t="s">
        <v>53</v>
      </c>
      <c r="H7" s="2" t="s">
        <v>36</v>
      </c>
      <c r="I7" s="2" t="s">
        <v>30</v>
      </c>
      <c r="J7" s="3" t="n">
        <v>15</v>
      </c>
      <c r="K7" s="2" t="s">
        <v>31</v>
      </c>
      <c r="L7" s="2" t="s">
        <v>54</v>
      </c>
    </row>
    <row r="8" customFormat="false" ht="15" hidden="false" customHeight="false" outlineLevel="0" collapsed="false">
      <c r="A8" s="2" t="s">
        <v>55</v>
      </c>
      <c r="B8" s="2" t="s">
        <v>56</v>
      </c>
      <c r="C8" s="2" t="s">
        <v>14</v>
      </c>
      <c r="D8" s="2" t="s">
        <v>35</v>
      </c>
      <c r="E8" s="2" t="s">
        <v>41</v>
      </c>
      <c r="F8" s="2" t="s">
        <v>52</v>
      </c>
      <c r="G8" s="2" t="s">
        <v>57</v>
      </c>
      <c r="H8" s="2" t="s">
        <v>43</v>
      </c>
      <c r="I8" s="2" t="s">
        <v>30</v>
      </c>
      <c r="J8" s="3" t="n">
        <v>30</v>
      </c>
      <c r="K8" s="2" t="s">
        <v>31</v>
      </c>
      <c r="L8" s="2" t="s">
        <v>58</v>
      </c>
    </row>
    <row r="9" customFormat="false" ht="15" hidden="false" customHeight="false" outlineLevel="0" collapsed="false">
      <c r="A9" s="2" t="s">
        <v>59</v>
      </c>
      <c r="B9" s="2" t="s">
        <v>60</v>
      </c>
      <c r="C9" s="2" t="s">
        <v>61</v>
      </c>
      <c r="D9" s="2" t="s">
        <v>25</v>
      </c>
      <c r="E9" s="2" t="s">
        <v>62</v>
      </c>
      <c r="F9" s="2" t="s">
        <v>52</v>
      </c>
      <c r="G9" s="2" t="s">
        <v>63</v>
      </c>
      <c r="H9" s="2" t="s">
        <v>29</v>
      </c>
      <c r="I9" s="2" t="s">
        <v>37</v>
      </c>
      <c r="J9" s="3" t="n">
        <v>5</v>
      </c>
      <c r="K9" s="2" t="s">
        <v>31</v>
      </c>
      <c r="L9" s="2" t="s">
        <v>64</v>
      </c>
    </row>
    <row r="10" customFormat="false" ht="23.85" hidden="false" customHeight="false" outlineLevel="0" collapsed="false">
      <c r="A10" s="2" t="s">
        <v>65</v>
      </c>
      <c r="B10" s="2" t="s">
        <v>66</v>
      </c>
      <c r="C10" s="2" t="s">
        <v>61</v>
      </c>
      <c r="D10" s="2" t="s">
        <v>35</v>
      </c>
      <c r="E10" s="2" t="s">
        <v>62</v>
      </c>
      <c r="F10" s="2" t="s">
        <v>67</v>
      </c>
      <c r="G10" s="2" t="s">
        <v>68</v>
      </c>
      <c r="H10" s="2" t="s">
        <v>43</v>
      </c>
      <c r="I10" s="2" t="s">
        <v>30</v>
      </c>
      <c r="J10" s="3" t="n">
        <v>20</v>
      </c>
      <c r="K10" s="2" t="s">
        <v>31</v>
      </c>
      <c r="L10" s="2" t="s">
        <v>69</v>
      </c>
    </row>
    <row r="11" customFormat="false" ht="23.85" hidden="false" customHeight="false" outlineLevel="0" collapsed="false">
      <c r="A11" s="2" t="s">
        <v>70</v>
      </c>
      <c r="B11" s="2" t="s">
        <v>71</v>
      </c>
      <c r="C11" s="2" t="s">
        <v>24</v>
      </c>
      <c r="D11" s="2" t="s">
        <v>25</v>
      </c>
      <c r="E11" s="2" t="s">
        <v>16</v>
      </c>
      <c r="F11" s="2" t="s">
        <v>72</v>
      </c>
      <c r="G11" s="2" t="s">
        <v>73</v>
      </c>
      <c r="H11" s="2" t="s">
        <v>29</v>
      </c>
      <c r="I11" s="2" t="s">
        <v>30</v>
      </c>
      <c r="J11" s="3" t="n">
        <v>25</v>
      </c>
      <c r="K11" s="2" t="s">
        <v>31</v>
      </c>
      <c r="L11" s="2" t="s">
        <v>74</v>
      </c>
    </row>
    <row r="12" customFormat="false" ht="15" hidden="false" customHeight="false" outlineLevel="0" collapsed="false">
      <c r="A12" s="2" t="s">
        <v>75</v>
      </c>
      <c r="B12" s="2" t="s">
        <v>76</v>
      </c>
      <c r="C12" s="2" t="s">
        <v>14</v>
      </c>
      <c r="D12" s="2" t="s">
        <v>35</v>
      </c>
      <c r="E12" s="2" t="s">
        <v>16</v>
      </c>
      <c r="F12" s="2" t="s">
        <v>77</v>
      </c>
      <c r="G12" s="2" t="s">
        <v>78</v>
      </c>
      <c r="H12" s="2" t="s">
        <v>36</v>
      </c>
      <c r="I12" s="2" t="s">
        <v>30</v>
      </c>
      <c r="J12" s="3" t="n">
        <v>20</v>
      </c>
      <c r="K12" s="2" t="s">
        <v>31</v>
      </c>
      <c r="L12" s="2" t="s">
        <v>79</v>
      </c>
    </row>
    <row r="13" customFormat="false" ht="15" hidden="false" customHeight="false" outlineLevel="0" collapsed="false">
      <c r="A13" s="2" t="s">
        <v>80</v>
      </c>
      <c r="B13" s="2" t="s">
        <v>81</v>
      </c>
      <c r="C13" s="2" t="s">
        <v>14</v>
      </c>
      <c r="D13" s="2" t="s">
        <v>35</v>
      </c>
      <c r="E13" s="2" t="s">
        <v>16</v>
      </c>
      <c r="F13" s="2" t="s">
        <v>77</v>
      </c>
      <c r="G13" s="2" t="s">
        <v>82</v>
      </c>
      <c r="H13" s="2" t="s">
        <v>43</v>
      </c>
      <c r="I13" s="2" t="s">
        <v>83</v>
      </c>
      <c r="J13" s="3" t="n">
        <v>60</v>
      </c>
      <c r="K13" s="2" t="s">
        <v>31</v>
      </c>
      <c r="L13" s="2" t="s">
        <v>84</v>
      </c>
    </row>
    <row r="14" customFormat="false" ht="23.85" hidden="false" customHeight="false" outlineLevel="0" collapsed="false">
      <c r="A14" s="2" t="s">
        <v>85</v>
      </c>
      <c r="B14" s="2" t="s">
        <v>86</v>
      </c>
      <c r="C14" s="2" t="s">
        <v>14</v>
      </c>
      <c r="D14" s="2" t="s">
        <v>35</v>
      </c>
      <c r="E14" s="2" t="s">
        <v>41</v>
      </c>
      <c r="F14" s="2" t="s">
        <v>87</v>
      </c>
      <c r="G14" s="2" t="s">
        <v>88</v>
      </c>
      <c r="H14" s="2" t="s">
        <v>43</v>
      </c>
      <c r="I14" s="2" t="s">
        <v>83</v>
      </c>
      <c r="J14" s="3" t="n">
        <v>120</v>
      </c>
      <c r="K14" s="2" t="s">
        <v>31</v>
      </c>
      <c r="L14" s="2" t="s">
        <v>89</v>
      </c>
    </row>
    <row r="15" customFormat="false" ht="15" hidden="false" customHeight="false" outlineLevel="0" collapsed="false">
      <c r="A15" s="2" t="s">
        <v>90</v>
      </c>
      <c r="B15" s="2" t="s">
        <v>91</v>
      </c>
      <c r="C15" s="2" t="s">
        <v>24</v>
      </c>
      <c r="D15" s="2" t="s">
        <v>25</v>
      </c>
      <c r="E15" s="2" t="s">
        <v>41</v>
      </c>
      <c r="F15" s="2" t="s">
        <v>92</v>
      </c>
      <c r="G15" s="2" t="s">
        <v>93</v>
      </c>
      <c r="H15" s="2" t="s">
        <v>29</v>
      </c>
      <c r="I15" s="2" t="s">
        <v>30</v>
      </c>
      <c r="J15" s="3" t="n">
        <v>25</v>
      </c>
      <c r="K15" s="2" t="s">
        <v>31</v>
      </c>
      <c r="L15" s="2" t="s">
        <v>94</v>
      </c>
    </row>
    <row r="16" customFormat="false" ht="23.85" hidden="false" customHeight="false" outlineLevel="0" collapsed="false">
      <c r="A16" s="2" t="s">
        <v>95</v>
      </c>
      <c r="B16" s="2" t="s">
        <v>96</v>
      </c>
      <c r="C16" s="2" t="s">
        <v>24</v>
      </c>
      <c r="D16" s="2" t="s">
        <v>35</v>
      </c>
      <c r="E16" s="2" t="s">
        <v>41</v>
      </c>
      <c r="F16" s="2" t="s">
        <v>97</v>
      </c>
      <c r="G16" s="2" t="s">
        <v>98</v>
      </c>
      <c r="H16" s="2" t="s">
        <v>36</v>
      </c>
      <c r="I16" s="2" t="s">
        <v>30</v>
      </c>
      <c r="J16" s="3" t="n">
        <v>30</v>
      </c>
      <c r="K16" s="2" t="s">
        <v>31</v>
      </c>
      <c r="L16" s="2" t="s">
        <v>99</v>
      </c>
    </row>
    <row r="17" customFormat="false" ht="15" hidden="false" customHeight="false" outlineLevel="0" collapsed="false">
      <c r="A17" s="2" t="s">
        <v>100</v>
      </c>
      <c r="B17" s="2" t="s">
        <v>101</v>
      </c>
      <c r="C17" s="2" t="s">
        <v>14</v>
      </c>
      <c r="D17" s="2" t="s">
        <v>25</v>
      </c>
      <c r="E17" s="2" t="s">
        <v>102</v>
      </c>
      <c r="F17" s="2" t="s">
        <v>103</v>
      </c>
      <c r="G17" s="2" t="s">
        <v>15</v>
      </c>
      <c r="H17" s="2" t="s">
        <v>29</v>
      </c>
      <c r="I17" s="2" t="s">
        <v>83</v>
      </c>
      <c r="J17" s="3" t="n">
        <v>80</v>
      </c>
      <c r="K17" s="2" t="s">
        <v>31</v>
      </c>
      <c r="L17" s="2" t="s">
        <v>104</v>
      </c>
    </row>
    <row r="18" customFormat="false" ht="23.85" hidden="false" customHeight="false" outlineLevel="0" collapsed="false">
      <c r="A18" s="2" t="s">
        <v>105</v>
      </c>
      <c r="B18" s="2" t="s">
        <v>106</v>
      </c>
      <c r="C18" s="2" t="s">
        <v>14</v>
      </c>
      <c r="D18" s="2" t="s">
        <v>25</v>
      </c>
      <c r="E18" s="2" t="s">
        <v>102</v>
      </c>
      <c r="F18" s="2" t="s">
        <v>107</v>
      </c>
      <c r="G18" s="2" t="s">
        <v>15</v>
      </c>
      <c r="H18" s="2" t="s">
        <v>47</v>
      </c>
      <c r="I18" s="2" t="s">
        <v>37</v>
      </c>
      <c r="J18" s="3" t="n">
        <v>10</v>
      </c>
      <c r="K18" s="2" t="s">
        <v>31</v>
      </c>
      <c r="L18" s="2" t="s">
        <v>108</v>
      </c>
    </row>
    <row r="19" customFormat="false" ht="23.85" hidden="false" customHeight="false" outlineLevel="0" collapsed="false">
      <c r="A19" s="2" t="s">
        <v>109</v>
      </c>
      <c r="B19" s="2" t="s">
        <v>110</v>
      </c>
      <c r="C19" s="2" t="s">
        <v>24</v>
      </c>
      <c r="D19" s="2" t="s">
        <v>35</v>
      </c>
      <c r="E19" s="2" t="s">
        <v>102</v>
      </c>
      <c r="F19" s="2" t="s">
        <v>111</v>
      </c>
      <c r="G19" s="2" t="s">
        <v>112</v>
      </c>
      <c r="H19" s="2" t="s">
        <v>43</v>
      </c>
      <c r="I19" s="2" t="s">
        <v>83</v>
      </c>
      <c r="J19" s="3" t="n">
        <v>150</v>
      </c>
      <c r="K19" s="2" t="s">
        <v>31</v>
      </c>
      <c r="L19" s="2" t="s">
        <v>113</v>
      </c>
    </row>
    <row r="20" customFormat="false" ht="15" hidden="false" customHeight="false" outlineLevel="0" collapsed="false">
      <c r="A20" s="2" t="s">
        <v>114</v>
      </c>
      <c r="B20" s="2" t="s">
        <v>115</v>
      </c>
      <c r="C20" s="2" t="s">
        <v>24</v>
      </c>
      <c r="D20" s="2" t="s">
        <v>116</v>
      </c>
      <c r="E20" s="2" t="s">
        <v>117</v>
      </c>
      <c r="F20" s="2" t="s">
        <v>118</v>
      </c>
      <c r="G20" s="2" t="s">
        <v>15</v>
      </c>
      <c r="H20" s="2" t="s">
        <v>119</v>
      </c>
      <c r="I20" s="2" t="s">
        <v>37</v>
      </c>
      <c r="J20" s="3" t="n">
        <v>10</v>
      </c>
      <c r="K20" s="2" t="s">
        <v>31</v>
      </c>
      <c r="L20" s="2" t="s">
        <v>120</v>
      </c>
    </row>
    <row r="21" customFormat="false" ht="15" hidden="false" customHeight="false" outlineLevel="0" collapsed="false">
      <c r="A21" s="2" t="s">
        <v>121</v>
      </c>
      <c r="B21" s="2" t="s">
        <v>122</v>
      </c>
      <c r="C21" s="2" t="s">
        <v>61</v>
      </c>
      <c r="D21" s="2" t="s">
        <v>25</v>
      </c>
      <c r="E21" s="2" t="s">
        <v>123</v>
      </c>
      <c r="F21" s="2" t="s">
        <v>124</v>
      </c>
      <c r="G21" s="2" t="s">
        <v>15</v>
      </c>
      <c r="H21" s="2" t="s">
        <v>47</v>
      </c>
      <c r="I21" s="2" t="s">
        <v>37</v>
      </c>
      <c r="J21" s="3" t="n">
        <v>50</v>
      </c>
      <c r="K21" s="2" t="s">
        <v>31</v>
      </c>
      <c r="L21" s="2" t="s">
        <v>125</v>
      </c>
    </row>
    <row r="22" customFormat="false" ht="23.85" hidden="false" customHeight="false" outlineLevel="0" collapsed="false">
      <c r="A22" s="2" t="s">
        <v>126</v>
      </c>
      <c r="B22" s="2" t="s">
        <v>127</v>
      </c>
      <c r="C22" s="2" t="s">
        <v>24</v>
      </c>
      <c r="D22" s="2" t="s">
        <v>35</v>
      </c>
      <c r="E22" s="2" t="s">
        <v>41</v>
      </c>
      <c r="F22" s="2" t="s">
        <v>52</v>
      </c>
      <c r="G22" s="2" t="s">
        <v>128</v>
      </c>
      <c r="H22" s="2" t="s">
        <v>36</v>
      </c>
      <c r="I22" s="2" t="s">
        <v>30</v>
      </c>
      <c r="J22" s="3" t="n">
        <v>30</v>
      </c>
      <c r="K22" s="2" t="s">
        <v>31</v>
      </c>
      <c r="L22" s="2" t="s">
        <v>129</v>
      </c>
    </row>
    <row r="23" customFormat="false" ht="23.85" hidden="false" customHeight="false" outlineLevel="0" collapsed="false">
      <c r="A23" s="2" t="s">
        <v>130</v>
      </c>
      <c r="B23" s="2" t="s">
        <v>131</v>
      </c>
      <c r="C23" s="2" t="s">
        <v>14</v>
      </c>
      <c r="D23" s="2" t="s">
        <v>35</v>
      </c>
      <c r="E23" s="2" t="s">
        <v>41</v>
      </c>
      <c r="F23" s="2" t="s">
        <v>52</v>
      </c>
      <c r="G23" s="2" t="s">
        <v>132</v>
      </c>
      <c r="H23" s="2" t="s">
        <v>43</v>
      </c>
      <c r="I23" s="2" t="s">
        <v>83</v>
      </c>
      <c r="J23" s="3" t="n">
        <v>50</v>
      </c>
      <c r="K23" s="2" t="s">
        <v>31</v>
      </c>
      <c r="L23" s="2" t="s">
        <v>133</v>
      </c>
    </row>
    <row r="24" customFormat="false" ht="15" hidden="false" customHeight="false" outlineLevel="0" collapsed="false">
      <c r="I24" s="4" t="s">
        <v>134</v>
      </c>
      <c r="J24" s="5" t="n">
        <f aca="false">SUM(J2:J23)</f>
        <v>805</v>
      </c>
    </row>
    <row r="26" customFormat="false" ht="15" hidden="false" customHeight="false" outlineLevel="0" collapsed="false">
      <c r="A26" s="6" t="s">
        <v>135</v>
      </c>
    </row>
  </sheetData>
  <autoFilter ref="A1:L23"/>
  <conditionalFormatting sqref="D2:D23">
    <cfRule type="expression" priority="2" aboveAverage="0" equalAverage="0" bottom="0" percent="0" rank="0" text="" dxfId="7">
      <formula>$D2="P1"</formula>
    </cfRule>
    <cfRule type="expression" priority="3" aboveAverage="0" equalAverage="0" bottom="0" percent="0" rank="0" text="" dxfId="8">
      <formula>$D2="P2"</formula>
    </cfRule>
    <cfRule type="expression" priority="4" aboveAverage="0" equalAverage="0" bottom="0" percent="0" rank="0" text="" dxfId="9">
      <formula>$D2="P3"</formula>
    </cfRule>
  </conditionalFormatting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I10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8"/>
    <col collapsed="false" customWidth="true" hidden="false" outlineLevel="0" max="2" min="2" style="0" width="52"/>
    <col collapsed="false" customWidth="true" hidden="false" outlineLevel="0" max="4" min="3" style="0" width="12"/>
    <col collapsed="false" customWidth="true" hidden="false" outlineLevel="0" max="5" min="5" style="0" width="13"/>
    <col collapsed="false" customWidth="true" hidden="false" outlineLevel="0" max="6" min="6" style="0" width="26"/>
    <col collapsed="false" customWidth="true" hidden="false" outlineLevel="0" max="7" min="7" style="0" width="30"/>
    <col collapsed="false" customWidth="true" hidden="false" outlineLevel="0" max="8" min="8" style="0" width="12"/>
    <col collapsed="false" customWidth="true" hidden="false" outlineLevel="0" max="9" min="9" style="0" width="14"/>
  </cols>
  <sheetData>
    <row r="1" customFormat="false" ht="26.85" hidden="false" customHeight="false" outlineLevel="0" collapsed="false">
      <c r="A1" s="1" t="s">
        <v>136</v>
      </c>
      <c r="B1" s="1" t="s">
        <v>137</v>
      </c>
      <c r="C1" s="1" t="s">
        <v>138</v>
      </c>
      <c r="D1" s="1" t="s">
        <v>139</v>
      </c>
      <c r="E1" s="1" t="s">
        <v>140</v>
      </c>
      <c r="F1" s="1" t="s">
        <v>141</v>
      </c>
      <c r="G1" s="1" t="s">
        <v>142</v>
      </c>
      <c r="H1" s="1" t="s">
        <v>143</v>
      </c>
      <c r="I1" s="1" t="s">
        <v>144</v>
      </c>
    </row>
    <row r="2" customFormat="false" ht="23.85" hidden="false" customHeight="false" outlineLevel="0" collapsed="false">
      <c r="A2" s="2" t="s">
        <v>27</v>
      </c>
      <c r="B2" s="2" t="s">
        <v>145</v>
      </c>
      <c r="C2" s="2" t="s">
        <v>146</v>
      </c>
      <c r="D2" s="2" t="s">
        <v>147</v>
      </c>
      <c r="E2" s="2" t="s">
        <v>148</v>
      </c>
      <c r="F2" s="2" t="s">
        <v>149</v>
      </c>
      <c r="G2" s="2" t="s">
        <v>150</v>
      </c>
      <c r="H2" s="2"/>
      <c r="I2" s="2"/>
    </row>
    <row r="3" customFormat="false" ht="23.85" hidden="false" customHeight="false" outlineLevel="0" collapsed="false">
      <c r="A3" s="2" t="s">
        <v>124</v>
      </c>
      <c r="B3" s="2" t="s">
        <v>151</v>
      </c>
      <c r="C3" s="2" t="s">
        <v>148</v>
      </c>
      <c r="D3" s="2" t="s">
        <v>152</v>
      </c>
      <c r="E3" s="2" t="s">
        <v>148</v>
      </c>
      <c r="F3" s="2" t="s">
        <v>16</v>
      </c>
      <c r="G3" s="2" t="s">
        <v>150</v>
      </c>
      <c r="H3" s="2"/>
      <c r="I3" s="2"/>
    </row>
    <row r="4" customFormat="false" ht="15" hidden="false" customHeight="false" outlineLevel="0" collapsed="false">
      <c r="A4" s="2" t="s">
        <v>92</v>
      </c>
      <c r="B4" s="2" t="s">
        <v>153</v>
      </c>
      <c r="C4" s="2" t="s">
        <v>146</v>
      </c>
      <c r="D4" s="2" t="s">
        <v>147</v>
      </c>
      <c r="E4" s="2" t="s">
        <v>154</v>
      </c>
      <c r="F4" s="2" t="s">
        <v>16</v>
      </c>
      <c r="G4" s="2" t="s">
        <v>150</v>
      </c>
      <c r="H4" s="2"/>
      <c r="I4" s="2"/>
    </row>
    <row r="5" customFormat="false" ht="23.85" hidden="false" customHeight="false" outlineLevel="0" collapsed="false">
      <c r="A5" s="2" t="s">
        <v>72</v>
      </c>
      <c r="B5" s="2" t="s">
        <v>155</v>
      </c>
      <c r="C5" s="2" t="s">
        <v>148</v>
      </c>
      <c r="D5" s="2" t="s">
        <v>147</v>
      </c>
      <c r="E5" s="2" t="s">
        <v>154</v>
      </c>
      <c r="F5" s="2" t="s">
        <v>16</v>
      </c>
      <c r="G5" s="2" t="s">
        <v>150</v>
      </c>
      <c r="H5" s="2"/>
      <c r="I5" s="2"/>
    </row>
    <row r="6" customFormat="false" ht="15" hidden="false" customHeight="false" outlineLevel="0" collapsed="false">
      <c r="A6" s="2" t="s">
        <v>52</v>
      </c>
      <c r="B6" s="2" t="s">
        <v>156</v>
      </c>
      <c r="C6" s="2" t="s">
        <v>146</v>
      </c>
      <c r="D6" s="2" t="s">
        <v>147</v>
      </c>
      <c r="E6" s="2" t="s">
        <v>148</v>
      </c>
      <c r="F6" s="2" t="s">
        <v>102</v>
      </c>
      <c r="G6" s="2" t="s">
        <v>150</v>
      </c>
      <c r="H6" s="2"/>
      <c r="I6" s="2"/>
    </row>
    <row r="7" customFormat="false" ht="23.85" hidden="false" customHeight="false" outlineLevel="0" collapsed="false">
      <c r="A7" s="2" t="s">
        <v>103</v>
      </c>
      <c r="B7" s="2" t="s">
        <v>157</v>
      </c>
      <c r="C7" s="2" t="s">
        <v>146</v>
      </c>
      <c r="D7" s="2" t="s">
        <v>147</v>
      </c>
      <c r="E7" s="2" t="s">
        <v>148</v>
      </c>
      <c r="F7" s="2" t="s">
        <v>102</v>
      </c>
      <c r="G7" s="2" t="s">
        <v>150</v>
      </c>
      <c r="H7" s="2"/>
      <c r="I7" s="2"/>
    </row>
    <row r="8" customFormat="false" ht="23.85" hidden="false" customHeight="false" outlineLevel="0" collapsed="false">
      <c r="A8" s="2" t="s">
        <v>158</v>
      </c>
      <c r="B8" s="2" t="s">
        <v>159</v>
      </c>
      <c r="C8" s="2" t="s">
        <v>146</v>
      </c>
      <c r="D8" s="2" t="s">
        <v>147</v>
      </c>
      <c r="E8" s="2" t="s">
        <v>148</v>
      </c>
      <c r="F8" s="2" t="s">
        <v>102</v>
      </c>
      <c r="G8" s="2" t="s">
        <v>150</v>
      </c>
      <c r="H8" s="2"/>
      <c r="I8" s="2"/>
    </row>
    <row r="10" customFormat="false" ht="15" hidden="false" customHeight="false" outlineLevel="0" collapsed="false">
      <c r="A10" s="6" t="s">
        <v>160</v>
      </c>
    </row>
  </sheetData>
  <conditionalFormatting sqref="C2:C8">
    <cfRule type="expression" priority="2" aboveAverage="0" equalAverage="0" bottom="0" percent="0" rank="0" text="" dxfId="7">
      <formula>$C2="High"</formula>
    </cfRule>
    <cfRule type="expression" priority="3" aboveAverage="0" equalAverage="0" bottom="0" percent="0" rank="0" text="" dxfId="8">
      <formula>$C2="Medium"</formula>
    </cfRule>
    <cfRule type="expression" priority="4" aboveAverage="0" equalAverage="0" bottom="0" percent="0" rank="0" text="" dxfId="10">
      <formula>$C2="Low"</formula>
    </cfRule>
  </conditionalFormatting>
  <conditionalFormatting sqref="E2:E8">
    <cfRule type="expression" priority="5" aboveAverage="0" equalAverage="0" bottom="0" percent="0" rank="0" text="" dxfId="7">
      <formula>$E2="High"</formula>
    </cfRule>
    <cfRule type="expression" priority="6" aboveAverage="0" equalAverage="0" bottom="0" percent="0" rank="0" text="" dxfId="8">
      <formula>$E2="Medium"</formula>
    </cfRule>
    <cfRule type="expression" priority="7" aboveAverage="0" equalAverage="0" bottom="0" percent="0" rank="0" text="" dxfId="10">
      <formula>$E2="Low"</formula>
    </cfRule>
  </conditionalFormatting>
  <dataValidations count="1">
    <dataValidation allowBlank="false" errorStyle="stop" operator="between" showDropDown="false" showErrorMessage="false" showInputMessage="false" sqref="G2:G8" type="list">
      <formula1>"Acceptation du risque résiduel,Refus – traitement complémentaire"</formula1>
      <formula2>0</formula2>
    </dataValidation>
  </dataValidation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D15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30"/>
    <col collapsed="false" customWidth="true" hidden="false" outlineLevel="0" max="3" min="2" style="0" width="18"/>
    <col collapsed="false" customWidth="true" hidden="false" outlineLevel="0" max="4" min="4" style="0" width="16"/>
  </cols>
  <sheetData>
    <row r="1" customFormat="false" ht="26.85" hidden="false" customHeight="false" outlineLevel="0" collapsed="false">
      <c r="A1" s="1" t="s">
        <v>3</v>
      </c>
      <c r="B1" s="1" t="s">
        <v>161</v>
      </c>
      <c r="C1" s="1" t="s">
        <v>162</v>
      </c>
      <c r="D1" s="1" t="s">
        <v>163</v>
      </c>
    </row>
    <row r="2" customFormat="false" ht="15" hidden="false" customHeight="false" outlineLevel="0" collapsed="false">
      <c r="A2" s="7" t="s">
        <v>35</v>
      </c>
      <c r="B2" s="7" t="n">
        <f aca="false">COUNTIF('Plan de traitement'!$D$2:$D$23,A2)</f>
        <v>12</v>
      </c>
      <c r="C2" s="7" t="n">
        <f aca="false">SUMIF('Plan de traitement'!$D$2:$D$23,A2,'Plan de traitement'!$J$2:$J$23)</f>
        <v>575</v>
      </c>
      <c r="D2" s="8" t="n">
        <f aca="false">IFERROR(C2/$C$5,0)</f>
        <v>0.714285714285714</v>
      </c>
    </row>
    <row r="3" customFormat="false" ht="15" hidden="false" customHeight="false" outlineLevel="0" collapsed="false">
      <c r="A3" s="7" t="s">
        <v>25</v>
      </c>
      <c r="B3" s="7" t="n">
        <f aca="false">COUNTIF('Plan de traitement'!$D$2:$D$23,A3)</f>
        <v>8</v>
      </c>
      <c r="C3" s="7" t="n">
        <f aca="false">SUMIF('Plan de traitement'!$D$2:$D$23,A3,'Plan de traitement'!$J$2:$J$23)</f>
        <v>220</v>
      </c>
      <c r="D3" s="8" t="n">
        <f aca="false">IFERROR(C3/$C$5,0)</f>
        <v>0.273291925465839</v>
      </c>
    </row>
    <row r="4" customFormat="false" ht="15" hidden="false" customHeight="false" outlineLevel="0" collapsed="false">
      <c r="A4" s="7" t="s">
        <v>116</v>
      </c>
      <c r="B4" s="7" t="n">
        <f aca="false">COUNTIF('Plan de traitement'!$D$2:$D$23,A4)</f>
        <v>1</v>
      </c>
      <c r="C4" s="7" t="n">
        <f aca="false">SUMIF('Plan de traitement'!$D$2:$D$23,A4,'Plan de traitement'!$J$2:$J$23)</f>
        <v>10</v>
      </c>
      <c r="D4" s="8" t="n">
        <f aca="false">IFERROR(C4/$C$5,0)</f>
        <v>0.0124223602484472</v>
      </c>
    </row>
    <row r="5" customFormat="false" ht="15" hidden="false" customHeight="false" outlineLevel="0" collapsed="false">
      <c r="A5" s="9" t="s">
        <v>134</v>
      </c>
      <c r="B5" s="9" t="n">
        <f aca="false">SUM(B2:B4)</f>
        <v>21</v>
      </c>
      <c r="C5" s="9" t="n">
        <f aca="false">SUM(C2:C4)</f>
        <v>805</v>
      </c>
      <c r="D5" s="10" t="n">
        <f aca="false">SUM(D2:D4)</f>
        <v>1</v>
      </c>
    </row>
    <row r="7" customFormat="false" ht="15" hidden="false" customHeight="false" outlineLevel="0" collapsed="false">
      <c r="A7" s="11" t="s">
        <v>4</v>
      </c>
      <c r="B7" s="11" t="s">
        <v>161</v>
      </c>
      <c r="C7" s="11" t="s">
        <v>162</v>
      </c>
    </row>
    <row r="8" customFormat="false" ht="15" hidden="false" customHeight="false" outlineLevel="0" collapsed="false">
      <c r="A8" s="7" t="s">
        <v>62</v>
      </c>
      <c r="B8" s="7" t="n">
        <f aca="false">COUNTIF('Plan de traitement'!$E$2:$E$23,A8)</f>
        <v>2</v>
      </c>
      <c r="C8" s="7" t="n">
        <f aca="false">SUMIF('Plan de traitement'!$E$2:$E$23,A8,'Plan de traitement'!$J$2:$J$23)</f>
        <v>25</v>
      </c>
    </row>
    <row r="9" customFormat="false" ht="15" hidden="false" customHeight="false" outlineLevel="0" collapsed="false">
      <c r="A9" s="7" t="s">
        <v>117</v>
      </c>
      <c r="B9" s="7" t="n">
        <f aca="false">COUNTIF('Plan de traitement'!$E$2:$E$23,A9)</f>
        <v>1</v>
      </c>
      <c r="C9" s="7" t="n">
        <f aca="false">SUMIF('Plan de traitement'!$E$2:$E$23,A9,'Plan de traitement'!$J$2:$J$23)</f>
        <v>10</v>
      </c>
    </row>
    <row r="10" customFormat="false" ht="15" hidden="false" customHeight="false" outlineLevel="0" collapsed="false">
      <c r="A10" s="7" t="s">
        <v>16</v>
      </c>
      <c r="B10" s="7" t="n">
        <f aca="false">COUNTIF('Plan de traitement'!$E$2:$E$23,A10)</f>
        <v>4</v>
      </c>
      <c r="C10" s="7" t="n">
        <f aca="false">SUMIF('Plan de traitement'!$E$2:$E$23,A10,'Plan de traitement'!$J$2:$J$23)</f>
        <v>105</v>
      </c>
    </row>
    <row r="11" customFormat="false" ht="15" hidden="false" customHeight="false" outlineLevel="0" collapsed="false">
      <c r="A11" s="7" t="s">
        <v>102</v>
      </c>
      <c r="B11" s="7" t="n">
        <f aca="false">COUNTIF('Plan de traitement'!$E$2:$E$23,A11)</f>
        <v>3</v>
      </c>
      <c r="C11" s="7" t="n">
        <f aca="false">SUMIF('Plan de traitement'!$E$2:$E$23,A11,'Plan de traitement'!$J$2:$J$23)</f>
        <v>240</v>
      </c>
    </row>
    <row r="12" customFormat="false" ht="15" hidden="false" customHeight="false" outlineLevel="0" collapsed="false">
      <c r="A12" s="7" t="s">
        <v>123</v>
      </c>
      <c r="B12" s="7" t="n">
        <f aca="false">COUNTIF('Plan de traitement'!$E$2:$E$23,A12)</f>
        <v>1</v>
      </c>
      <c r="C12" s="7" t="n">
        <f aca="false">SUMIF('Plan de traitement'!$E$2:$E$23,A12,'Plan de traitement'!$J$2:$J$23)</f>
        <v>50</v>
      </c>
    </row>
    <row r="13" customFormat="false" ht="15" hidden="false" customHeight="false" outlineLevel="0" collapsed="false">
      <c r="A13" s="7" t="s">
        <v>51</v>
      </c>
      <c r="B13" s="7" t="n">
        <f aca="false">COUNTIF('Plan de traitement'!$E$2:$E$23,A13)</f>
        <v>1</v>
      </c>
      <c r="C13" s="7" t="n">
        <f aca="false">SUMIF('Plan de traitement'!$E$2:$E$23,A13,'Plan de traitement'!$J$2:$J$23)</f>
        <v>15</v>
      </c>
    </row>
    <row r="14" customFormat="false" ht="15" hidden="false" customHeight="false" outlineLevel="0" collapsed="false">
      <c r="A14" s="7" t="s">
        <v>41</v>
      </c>
      <c r="B14" s="7" t="n">
        <f aca="false">COUNTIF('Plan de traitement'!$E$2:$E$23,A14)</f>
        <v>7</v>
      </c>
      <c r="C14" s="7" t="n">
        <f aca="false">SUMIF('Plan de traitement'!$E$2:$E$23,A14,'Plan de traitement'!$J$2:$J$23)</f>
        <v>325</v>
      </c>
    </row>
    <row r="15" customFormat="false" ht="15" hidden="false" customHeight="false" outlineLevel="0" collapsed="false">
      <c r="A15" s="7" t="s">
        <v>26</v>
      </c>
      <c r="B15" s="7" t="n">
        <f aca="false">COUNTIF('Plan de traitement'!$E$2:$E$23,A15)</f>
        <v>3</v>
      </c>
      <c r="C15" s="7" t="n">
        <f aca="false">SUMIF('Plan de traitement'!$E$2:$E$23,A15,'Plan de traitement'!$J$2:$J$23)</f>
        <v>35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2026-10-15T09:56:05Z</dcterms:created>
  <dc:creator>Ylayann Malouda Ribardiere</dc:creator>
  <dc:description/>
  <dc:language>en-US</dc:language>
  <cp:lastModifiedBy>Ylayann Malouda Ribardiere</cp:lastModifiedBy>
  <dcterms:modified xsi:type="dcterms:W3CDTF">2026-10-15T09:56:05Z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