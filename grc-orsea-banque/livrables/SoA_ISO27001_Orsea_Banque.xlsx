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SoA" sheetId="2" state="visible" r:id="rId4"/>
    <sheet name="Synthèse" sheetId="3" state="visible" r:id="rId5"/>
  </sheets>
  <definedNames>
    <definedName function="false" hidden="true" localSheetId="1" name="_xlnm._FilterDatabase" vbProcedure="false">SoA!$A$1:$H$94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<sst xmlns="http://schemas.openxmlformats.org/spreadsheetml/2006/main" count="776" uniqueCount="364">
  <si>
    <t xml:space="preserve">SoA – ISO/IEC 27001:2022 – Orséa Banque</t>
  </si>
  <si>
    <t xml:space="preserve">Déclaration d'applicabilité des 93 contrôles de l'Annexe A, issue de l'analyse de risques EBIOS RM (AR_01).</t>
  </si>
  <si>
    <t xml:space="preserve">Comment reporter dans CISO Assistant (audit AUD_01, annex-a) :</t>
  </si>
  <si>
    <t xml:space="preserve">1. Result : recopier la colonne « Résultat CISO » (Not applicable / Non compliant / Partially compliant).</t>
  </si>
  <si>
    <t xml:space="preserve">2. Status : mettre « Done » une fois la ligne évaluée.</t>
  </si>
  <si>
    <t xml:space="preserve">3. Applied control : ajouter les mesures de la colonne « Mesures Orséa » (rechercher par nom).</t>
  </si>
  <si>
    <t xml:space="preserve">4. Observation : coller la colonne « Justification ».</t>
  </si>
  <si>
    <t xml:space="preserve">Règle d'évaluation (état initial, avant mise en œuvre du plan de traitement) :</t>
  </si>
  <si>
    <t xml:space="preserve">• Not applicable : contrôle exclu, avec justification obligatoire (clause 6.1.3 d).</t>
  </si>
  <si>
    <t xml:space="preserve">• Partially compliant : une mesure ou un livrable existe déjà (M_01 active, inventaire et DICP de l'atelier 1, cadre de suivi).</t>
  </si>
  <si>
    <t xml:space="preserve">• Non compliant : mesure prévue (statut « To do ») ou à couvrir par la PSSI.</t>
  </si>
  <si>
    <t xml:space="preserve">Cellules modifiables : colonnes D (Applicable) et H (Résultat) de l'onglet SoA. Le tableau de synthèse se met à jour automatiquement.</t>
  </si>
  <si>
    <t xml:space="preserve">Réf.</t>
  </si>
  <si>
    <t xml:space="preserve">Thème</t>
  </si>
  <si>
    <t xml:space="preserve">Contrôle (Annexe A)</t>
  </si>
  <si>
    <t xml:space="preserve">Applicable</t>
  </si>
  <si>
    <t xml:space="preserve">Justification</t>
  </si>
  <si>
    <t xml:space="preserve">Mesures Orséa</t>
  </si>
  <si>
    <t xml:space="preserve">Risques couverts</t>
  </si>
  <si>
    <t xml:space="preserve">Résultat CISO</t>
  </si>
  <si>
    <t xml:space="preserve">5.1</t>
  </si>
  <si>
    <t xml:space="preserve">5 – Organisationnel</t>
  </si>
  <si>
    <t xml:space="preserve">Politiques de sécurité de l'information</t>
  </si>
  <si>
    <t xml:space="preserve">Oui</t>
  </si>
  <si>
    <t xml:space="preserve">Socle obligatoire du SMSI ; exigé par DORA (art. 5-6) pour le cadre de gestion du risque TIC.</t>
  </si>
  <si>
    <t xml:space="preserve">PSSI (à rédiger)</t>
  </si>
  <si>
    <t xml:space="preserve">Tous</t>
  </si>
  <si>
    <t xml:space="preserve">Non compliant</t>
  </si>
  <si>
    <t xml:space="preserve">5.2</t>
  </si>
  <si>
    <t xml:space="preserve">Fonctions et responsabilités liées à la sécurité</t>
  </si>
  <si>
    <t xml:space="preserve">Le RSSI est propriétaire du cadre de suivi des risques ; les rôles doivent être formalisés.</t>
  </si>
  <si>
    <t xml:space="preserve">Cadre de suivi AR_01</t>
  </si>
  <si>
    <t xml:space="preserve">Partially compliant</t>
  </si>
  <si>
    <t xml:space="preserve">5.3</t>
  </si>
  <si>
    <t xml:space="preserve">Séparation des tâches</t>
  </si>
  <si>
    <t xml:space="preserve">Un agent seul ne doit pas pouvoir valider une opération sensible (fraude interne).</t>
  </si>
  <si>
    <t xml:space="preserve">M_22</t>
  </si>
  <si>
    <t xml:space="preserve">CA_05</t>
  </si>
  <si>
    <t xml:space="preserve">5.4</t>
  </si>
  <si>
    <t xml:space="preserve">Responsabilités de la direction</t>
  </si>
  <si>
    <t xml:space="preserve">DORA rend l'organe de direction responsable du risque TIC ; reporting COMEX prévu.</t>
  </si>
  <si>
    <t xml:space="preserve">5.5</t>
  </si>
  <si>
    <t xml:space="preserve">Contacts avec les autorités</t>
  </si>
  <si>
    <t xml:space="preserve">Notification des incidents majeurs à l'ACPR (DORA), déclarations Tracfin, CNIL (RGPD).</t>
  </si>
  <si>
    <t xml:space="preserve">M_16, M_19</t>
  </si>
  <si>
    <t xml:space="preserve">CA_01 à CA_07</t>
  </si>
  <si>
    <t xml:space="preserve">5.6</t>
  </si>
  <si>
    <t xml:space="preserve">Contacts avec des groupes d'intérêt spéciaux</t>
  </si>
  <si>
    <t xml:space="preserve">Partage d'information sur les menaces avec CERT-FR et la communauté bancaire.</t>
  </si>
  <si>
    <t xml:space="preserve">CA_01, CA_03</t>
  </si>
  <si>
    <t xml:space="preserve">5.7</t>
  </si>
  <si>
    <t xml:space="preserve">Renseignement sur les menaces</t>
  </si>
  <si>
    <t xml:space="preserve">Les menaces (phishing, rançongiciel) évoluent vite ; veille assurée par le SOC.</t>
  </si>
  <si>
    <t xml:space="preserve">M_14</t>
  </si>
  <si>
    <t xml:space="preserve">CA_01, CA_03, CA_04</t>
  </si>
  <si>
    <t xml:space="preserve">5.8</t>
  </si>
  <si>
    <t xml:space="preserve">Sécurité de l'information dans la gestion de projet</t>
  </si>
  <si>
    <t xml:space="preserve">Les évolutions de l'appli et du core banking doivent intégrer la sécurité dès la conception.</t>
  </si>
  <si>
    <t xml:space="preserve">CA_04</t>
  </si>
  <si>
    <t xml:space="preserve">5.9</t>
  </si>
  <si>
    <t xml:space="preserve">Inventaire des informations et autres actifs associés</t>
  </si>
  <si>
    <t xml:space="preserve">Valeurs métier et biens supports inventoriés lors de l'atelier 1 EBIOS RM.</t>
  </si>
  <si>
    <t xml:space="preserve">Atelier 1 EBIOS RM</t>
  </si>
  <si>
    <t xml:space="preserve">5.10</t>
  </si>
  <si>
    <t xml:space="preserve">Utilisation correcte des informations et actifs</t>
  </si>
  <si>
    <t xml:space="preserve">Charte d'utilisation des SI à faire signer aux collaborateurs.</t>
  </si>
  <si>
    <t xml:space="preserve">CA_03, CA_05</t>
  </si>
  <si>
    <t xml:space="preserve">5.11</t>
  </si>
  <si>
    <t xml:space="preserve">Restitution des actifs</t>
  </si>
  <si>
    <t xml:space="preserve">Restitution du matériel et des accès au départ d'un collaborateur.</t>
  </si>
  <si>
    <t xml:space="preserve">5.12</t>
  </si>
  <si>
    <t xml:space="preserve">Classification des informations</t>
  </si>
  <si>
    <t xml:space="preserve">Besoins DICP évalués pour chaque valeur métier (atelier 1).</t>
  </si>
  <si>
    <t xml:space="preserve">5.13</t>
  </si>
  <si>
    <t xml:space="preserve">Marquage des informations</t>
  </si>
  <si>
    <t xml:space="preserve">Les documents classifiés (données clients, LCB-FT) doivent être marqués.</t>
  </si>
  <si>
    <t xml:space="preserve">5.14</t>
  </si>
  <si>
    <t xml:space="preserve">Transfert des informations</t>
  </si>
  <si>
    <t xml:space="preserve">Échanges de données avec le processeur de paiement, le prestataire KYC et AWS.</t>
  </si>
  <si>
    <t xml:space="preserve">M_09</t>
  </si>
  <si>
    <t xml:space="preserve">CA_02, CA_04</t>
  </si>
  <si>
    <t xml:space="preserve">5.15</t>
  </si>
  <si>
    <t xml:space="preserve">Contrôle d'accès</t>
  </si>
  <si>
    <t xml:space="preserve">Accès aux données clients limités au besoin d'en connaître.</t>
  </si>
  <si>
    <t xml:space="preserve">M_06, M_22</t>
  </si>
  <si>
    <t xml:space="preserve">5.16</t>
  </si>
  <si>
    <t xml:space="preserve">Gestion des identités</t>
  </si>
  <si>
    <t xml:space="preserve">Cycle de vie des comptes (arrivée, mobilité, départ) pour collaborateurs et prestataires.</t>
  </si>
  <si>
    <t xml:space="preserve">5.17</t>
  </si>
  <si>
    <t xml:space="preserve">Informations d'authentification</t>
  </si>
  <si>
    <t xml:space="preserve">Authentification forte en place pour les clients ; MFA admin prévu.</t>
  </si>
  <si>
    <t xml:space="preserve">M_01, M_12</t>
  </si>
  <si>
    <t xml:space="preserve">CA_01, CA_03, CA_04, CA_07</t>
  </si>
  <si>
    <t xml:space="preserve">5.18</t>
  </si>
  <si>
    <t xml:space="preserve">Droits d'accès</t>
  </si>
  <si>
    <t xml:space="preserve">Revue trimestrielle des droits et moindre privilège des agents du support.</t>
  </si>
  <si>
    <t xml:space="preserve">5.19</t>
  </si>
  <si>
    <t xml:space="preserve">Sécurité de l'information dans les relations avec les fournisseurs</t>
  </si>
  <si>
    <t xml:space="preserve">Dépendance forte à des prestataires critiques (core banking, paiement, AWS, KYC, support).</t>
  </si>
  <si>
    <t xml:space="preserve">M_08, M_09</t>
  </si>
  <si>
    <t xml:space="preserve">CA_02, CA_04, CA_05</t>
  </si>
  <si>
    <t xml:space="preserve">5.20</t>
  </si>
  <si>
    <t xml:space="preserve">Sécurité dans les accords conclus avec les fournisseurs</t>
  </si>
  <si>
    <t xml:space="preserve">DORA (art. 30) impose des clauses contractuelles minimales aux prestataires TIC.</t>
  </si>
  <si>
    <t xml:space="preserve">5.21</t>
  </si>
  <si>
    <t xml:space="preserve">Sécurité dans la chaîne d'approvisionnement TIC</t>
  </si>
  <si>
    <t xml:space="preserve">Une mise à jour piégée de l'éditeur core banking est un scénario identifié.</t>
  </si>
  <si>
    <t xml:space="preserve">M_09, M_10</t>
  </si>
  <si>
    <t xml:space="preserve">5.22</t>
  </si>
  <si>
    <t xml:space="preserve">Surveillance, revue et gestion des changements des services fournisseurs</t>
  </si>
  <si>
    <t xml:space="preserve">DORA impose le suivi des prestataires et un registre d'information.</t>
  </si>
  <si>
    <t xml:space="preserve">5.23</t>
  </si>
  <si>
    <t xml:space="preserve">Sécurité de l'information dans l'utilisation de services cloud</t>
  </si>
  <si>
    <t xml:space="preserve">SI hébergé chez AWS ; responsabilité partagée à encadrer.</t>
  </si>
  <si>
    <t xml:space="preserve">5.24</t>
  </si>
  <si>
    <t xml:space="preserve">Planification et préparation de la gestion des incidents</t>
  </si>
  <si>
    <t xml:space="preserve">DORA (art. 17) impose un processus de gestion des incidents TIC.</t>
  </si>
  <si>
    <t xml:space="preserve">M_16</t>
  </si>
  <si>
    <t xml:space="preserve">CA_01 à CA_04</t>
  </si>
  <si>
    <t xml:space="preserve">5.25</t>
  </si>
  <si>
    <t xml:space="preserve">Évaluation des événements et prise de décision</t>
  </si>
  <si>
    <t xml:space="preserve">Qualification des alertes SOC et classification des incidents majeurs (DORA art. 18).</t>
  </si>
  <si>
    <t xml:space="preserve">M_14, M_16</t>
  </si>
  <si>
    <t xml:space="preserve">5.26</t>
  </si>
  <si>
    <t xml:space="preserve">Réponse aux incidents de sécurité de l'information</t>
  </si>
  <si>
    <t xml:space="preserve">Plan de crise cyber et notification DORA.</t>
  </si>
  <si>
    <t xml:space="preserve">5.27</t>
  </si>
  <si>
    <t xml:space="preserve">Tirer des enseignements des incidents</t>
  </si>
  <si>
    <t xml:space="preserve">Retour d'expérience après chaque incident majeur ; alimente la revue des risques.</t>
  </si>
  <si>
    <t xml:space="preserve">5.28</t>
  </si>
  <si>
    <t xml:space="preserve">Collecte des preuves</t>
  </si>
  <si>
    <t xml:space="preserve">Preuves nécessaires en cas de fraude interne ou de plainte.</t>
  </si>
  <si>
    <t xml:space="preserve">M_07, M_23</t>
  </si>
  <si>
    <t xml:space="preserve">5.29</t>
  </si>
  <si>
    <t xml:space="preserve">Sécurité de l'information durant une perturbation</t>
  </si>
  <si>
    <t xml:space="preserve">Maintenir la sécurité pendant une attaque par rançongiciel.</t>
  </si>
  <si>
    <t xml:space="preserve">M_13, M_16</t>
  </si>
  <si>
    <t xml:space="preserve">CA_03, CA_04</t>
  </si>
  <si>
    <t xml:space="preserve">5.30</t>
  </si>
  <si>
    <t xml:space="preserve">Préparation des TIC pour la continuité d'activité</t>
  </si>
  <si>
    <t xml:space="preserve">DORA (art. 11-12) : continuité et restauration des services critiques.</t>
  </si>
  <si>
    <t xml:space="preserve">M_13</t>
  </si>
  <si>
    <t xml:space="preserve">5.31</t>
  </si>
  <si>
    <t xml:space="preserve">Exigences légales, statutaires, réglementaires et contractuelles</t>
  </si>
  <si>
    <t xml:space="preserve">Banque soumise à DORA, RGPD, LCB-FT, DSP2 et supervision de l'ACPR.</t>
  </si>
  <si>
    <t xml:space="preserve">M_09, M_19</t>
  </si>
  <si>
    <t xml:space="preserve">5.32</t>
  </si>
  <si>
    <t xml:space="preserve">Droits de propriété intellectuelle</t>
  </si>
  <si>
    <t xml:space="preserve">Licences logicielles et code de l'application mobile.</t>
  </si>
  <si>
    <t xml:space="preserve">—</t>
  </si>
  <si>
    <t xml:space="preserve">5.33</t>
  </si>
  <si>
    <t xml:space="preserve">Protection des enregistrements</t>
  </si>
  <si>
    <t xml:space="preserve">Conservation légale des journaux et des pièces LCB-FT (5 ans).</t>
  </si>
  <si>
    <t xml:space="preserve">CA_05, CA_06</t>
  </si>
  <si>
    <t xml:space="preserve">5.34</t>
  </si>
  <si>
    <t xml:space="preserve">Protection de la vie privée et des DCP</t>
  </si>
  <si>
    <t xml:space="preserve">Traitement massif de données personnelles clients (RGPD).</t>
  </si>
  <si>
    <t xml:space="preserve">CA_01, CA_05</t>
  </si>
  <si>
    <t xml:space="preserve">5.35</t>
  </si>
  <si>
    <t xml:space="preserve">Revue indépendante de la sécurité de l'information</t>
  </si>
  <si>
    <t xml:space="preserve">Audit interne du SMSI (clause 9.2) et tests TLPT exigés par DORA.</t>
  </si>
  <si>
    <t xml:space="preserve">5.36</t>
  </si>
  <si>
    <t xml:space="preserve">Conformité aux politiques et normes de sécurité</t>
  </si>
  <si>
    <t xml:space="preserve">Contrôles de conformité périodiques par le RSSI.</t>
  </si>
  <si>
    <t xml:space="preserve">5.37</t>
  </si>
  <si>
    <t xml:space="preserve">Procédures d'exploitation documentées</t>
  </si>
  <si>
    <t xml:space="preserve">Procédures d'exploitation du core banking et des sauvegardes.</t>
  </si>
  <si>
    <t xml:space="preserve">6.1</t>
  </si>
  <si>
    <t xml:space="preserve">6 – Personnes</t>
  </si>
  <si>
    <t xml:space="preserve">Sélection des candidats</t>
  </si>
  <si>
    <t xml:space="preserve">Vérifications à l'embauche pour les postes sensibles (risque d'initié).</t>
  </si>
  <si>
    <t xml:space="preserve">6.2</t>
  </si>
  <si>
    <t xml:space="preserve">Termes et conditions du contrat de travail</t>
  </si>
  <si>
    <t xml:space="preserve">Obligations de sécurité et de confidentialité dans le contrat.</t>
  </si>
  <si>
    <t xml:space="preserve">6.3</t>
  </si>
  <si>
    <t xml:space="preserve">Sensibilisation, enseignement et formation</t>
  </si>
  <si>
    <t xml:space="preserve">Le phishing des collaborateurs est un scénario de risque élevé.</t>
  </si>
  <si>
    <t xml:space="preserve">M_15</t>
  </si>
  <si>
    <t xml:space="preserve">CA_03</t>
  </si>
  <si>
    <t xml:space="preserve">6.4</t>
  </si>
  <si>
    <t xml:space="preserve">Processus disciplinaire</t>
  </si>
  <si>
    <t xml:space="preserve">Sanctions en cas de violation de la PSSI ; dissuasif contre la fraude interne.</t>
  </si>
  <si>
    <t xml:space="preserve">6.5</t>
  </si>
  <si>
    <t xml:space="preserve">Responsabilités après la fin ou le changement d'un emploi</t>
  </si>
  <si>
    <t xml:space="preserve">Retrait des accès au départ ; obligations de confidentialité maintenues.</t>
  </si>
  <si>
    <t xml:space="preserve">6.6</t>
  </si>
  <si>
    <t xml:space="preserve">Engagements de confidentialité ou de non-divulgation</t>
  </si>
  <si>
    <t xml:space="preserve">Collaborateurs et prestataires accèdent à des données bancaires.</t>
  </si>
  <si>
    <t xml:space="preserve">M_08</t>
  </si>
  <si>
    <t xml:space="preserve">6.7</t>
  </si>
  <si>
    <t xml:space="preserve">Travail à distance</t>
  </si>
  <si>
    <t xml:space="preserve">Néobanque : télétravail courant, accès distants au SI.</t>
  </si>
  <si>
    <t xml:space="preserve">M_12, M_14</t>
  </si>
  <si>
    <t xml:space="preserve">6.8</t>
  </si>
  <si>
    <t xml:space="preserve">Déclaration des événements de sécurité</t>
  </si>
  <si>
    <t xml:space="preserve">Les collaborateurs doivent signaler un phishing ou une anomalie.</t>
  </si>
  <si>
    <t xml:space="preserve">M_15, M_16</t>
  </si>
  <si>
    <t xml:space="preserve">7.1</t>
  </si>
  <si>
    <t xml:space="preserve">7 – Physique</t>
  </si>
  <si>
    <t xml:space="preserve">Périmètres de sécurité physique</t>
  </si>
  <si>
    <t xml:space="preserve">Bureaux d'Orséa (sans salle serveur) : accès à protéger.</t>
  </si>
  <si>
    <t xml:space="preserve">7.2</t>
  </si>
  <si>
    <t xml:space="preserve">Les entrées physiques</t>
  </si>
  <si>
    <t xml:space="preserve">Contrôle d'accès par badge aux bureaux.</t>
  </si>
  <si>
    <t xml:space="preserve">7.3</t>
  </si>
  <si>
    <t xml:space="preserve">Sécurisation des bureaux, des salles et des équipements</t>
  </si>
  <si>
    <t xml:space="preserve">Zones où sont traitées les données clients (support, conformité).</t>
  </si>
  <si>
    <t xml:space="preserve">7.4</t>
  </si>
  <si>
    <t xml:space="preserve">Surveillance de la sécurité physique</t>
  </si>
  <si>
    <t xml:space="preserve">Vidéoprotection et alarme des bureaux.</t>
  </si>
  <si>
    <t xml:space="preserve">7.5</t>
  </si>
  <si>
    <t xml:space="preserve">Protection contre les menaces physiques et environnementales</t>
  </si>
  <si>
    <t xml:space="preserve">Incendie, dégât des eaux dans les bureaux (l'hébergement relève d'AWS).</t>
  </si>
  <si>
    <t xml:space="preserve">7.6</t>
  </si>
  <si>
    <t xml:space="preserve">Travail dans les zones sécurisées</t>
  </si>
  <si>
    <t xml:space="preserve">Règles pour les zones à accès restreint.</t>
  </si>
  <si>
    <t xml:space="preserve">7.7</t>
  </si>
  <si>
    <t xml:space="preserve">Bureau propre et écran vide</t>
  </si>
  <si>
    <t xml:space="preserve">Données clients visibles à l'écran des agents du support.</t>
  </si>
  <si>
    <t xml:space="preserve">7.8</t>
  </si>
  <si>
    <t xml:space="preserve">Emplacement et protection du matériel</t>
  </si>
  <si>
    <t xml:space="preserve">Non</t>
  </si>
  <si>
    <t xml:space="preserve">Aucun serveur hébergé par Orséa : l'infrastructure est chez AWS (responsabilité partagée), couverte par 5.23.</t>
  </si>
  <si>
    <t xml:space="preserve">Not applicable</t>
  </si>
  <si>
    <t xml:space="preserve">7.9</t>
  </si>
  <si>
    <t xml:space="preserve">Sécurité des actifs hors des locaux</t>
  </si>
  <si>
    <t xml:space="preserve">Ordinateurs portables utilisés en télétravail.</t>
  </si>
  <si>
    <t xml:space="preserve">7.10</t>
  </si>
  <si>
    <t xml:space="preserve">Supports de stockage</t>
  </si>
  <si>
    <t xml:space="preserve">Clés USB et supports amovibles à encadrer.</t>
  </si>
  <si>
    <t xml:space="preserve">7.11</t>
  </si>
  <si>
    <t xml:space="preserve">Services généraux</t>
  </si>
  <si>
    <t xml:space="preserve">Pas de salle serveur : alimentation et climatisation des équipements critiques relèvent d'AWS (5.23).</t>
  </si>
  <si>
    <t xml:space="preserve">7.12</t>
  </si>
  <si>
    <t xml:space="preserve">Sécurité du câblage</t>
  </si>
  <si>
    <t xml:space="preserve">Bureaux en location sans infrastructure réseau critique ; le SI est hébergé chez AWS (5.23).</t>
  </si>
  <si>
    <t xml:space="preserve">7.13</t>
  </si>
  <si>
    <t xml:space="preserve">Maintenance du matériel</t>
  </si>
  <si>
    <t xml:space="preserve">Maintenance des postes de travail des collaborateurs.</t>
  </si>
  <si>
    <t xml:space="preserve">7.14</t>
  </si>
  <si>
    <t xml:space="preserve">Élimination ou recyclage sécurisé du matériel</t>
  </si>
  <si>
    <t xml:space="preserve">Effacement sécurisé des postes contenant des données clients.</t>
  </si>
  <si>
    <t xml:space="preserve">8.1</t>
  </si>
  <si>
    <t xml:space="preserve">8 – Technologique</t>
  </si>
  <si>
    <t xml:space="preserve">Terminaux finaux des utilisateurs</t>
  </si>
  <si>
    <t xml:space="preserve">Postes des collaborateurs, premier point d'entrée d'un rançongiciel.</t>
  </si>
  <si>
    <t xml:space="preserve">8.2</t>
  </si>
  <si>
    <t xml:space="preserve">Droits d'accès privilégiés</t>
  </si>
  <si>
    <t xml:space="preserve">Comptes administrateurs et accès prestataires ciblés par les attaquants.</t>
  </si>
  <si>
    <t xml:space="preserve">M_12, M_23</t>
  </si>
  <si>
    <t xml:space="preserve">CA_03, CA_04, CA_05</t>
  </si>
  <si>
    <t xml:space="preserve">8.3</t>
  </si>
  <si>
    <t xml:space="preserve">Restriction d'accès aux informations</t>
  </si>
  <si>
    <t xml:space="preserve">Les agents du support ne voient que les données nécessaires.</t>
  </si>
  <si>
    <t xml:space="preserve">M_06</t>
  </si>
  <si>
    <t xml:space="preserve">8.4</t>
  </si>
  <si>
    <t xml:space="preserve">Accès aux codes source</t>
  </si>
  <si>
    <t xml:space="preserve">Code de l'application mobile bancaire.</t>
  </si>
  <si>
    <t xml:space="preserve">8.5</t>
  </si>
  <si>
    <t xml:space="preserve">Authentification sécurisée</t>
  </si>
  <si>
    <t xml:space="preserve">Authentification forte des clients en place (DSP2) ; MFA admin prévu.</t>
  </si>
  <si>
    <t xml:space="preserve">CA_01, CA_03, CA_07</t>
  </si>
  <si>
    <t xml:space="preserve">8.6</t>
  </si>
  <si>
    <t xml:space="preserve">Dimensionnement</t>
  </si>
  <si>
    <t xml:space="preserve">Disponibilité de la plateforme (D4) ; capacités gérées avec AWS.</t>
  </si>
  <si>
    <t xml:space="preserve">8.7</t>
  </si>
  <si>
    <t xml:space="preserve">Protection contre les programmes malveillants</t>
  </si>
  <si>
    <t xml:space="preserve">Rançongiciel identifié comme risque élevé.</t>
  </si>
  <si>
    <t xml:space="preserve">8.8</t>
  </si>
  <si>
    <t xml:space="preserve">Gestion des vulnérabilités techniques</t>
  </si>
  <si>
    <t xml:space="preserve">Correctifs et scans de vulnérabilités ; tests TLPT imposés par DORA.</t>
  </si>
  <si>
    <t xml:space="preserve">8.9</t>
  </si>
  <si>
    <t xml:space="preserve">Gestion des configurations</t>
  </si>
  <si>
    <t xml:space="preserve">Configurations de sécurité de référence pour AWS et les postes.</t>
  </si>
  <si>
    <t xml:space="preserve">8.10</t>
  </si>
  <si>
    <t xml:space="preserve">Suppression des informations</t>
  </si>
  <si>
    <t xml:space="preserve">Durées de conservation RGPD et LCB-FT.</t>
  </si>
  <si>
    <t xml:space="preserve">8.11</t>
  </si>
  <si>
    <t xml:space="preserve">Masquage des données</t>
  </si>
  <si>
    <t xml:space="preserve">Masquage des données clients pour le support et les environnements de test.</t>
  </si>
  <si>
    <t xml:space="preserve">8.12</t>
  </si>
  <si>
    <t xml:space="preserve">Prévention de la fuite de données</t>
  </si>
  <si>
    <t xml:space="preserve">Exfiltration de données clients par un initié.</t>
  </si>
  <si>
    <t xml:space="preserve">M_23</t>
  </si>
  <si>
    <t xml:space="preserve">8.13</t>
  </si>
  <si>
    <t xml:space="preserve">Sauvegarde des informations</t>
  </si>
  <si>
    <t xml:space="preserve">Restauration du core banking après un rançongiciel.</t>
  </si>
  <si>
    <t xml:space="preserve">8.14</t>
  </si>
  <si>
    <t xml:space="preserve">Redondance des moyens de traitement</t>
  </si>
  <si>
    <t xml:space="preserve">Disponibilité critique (D4) ; redondance multi-zones AWS.</t>
  </si>
  <si>
    <t xml:space="preserve">8.15</t>
  </si>
  <si>
    <t xml:space="preserve">Journalisation</t>
  </si>
  <si>
    <t xml:space="preserve">Traçabilité des actions des agents et des administrateurs.</t>
  </si>
  <si>
    <t xml:space="preserve">8.16</t>
  </si>
  <si>
    <t xml:space="preserve">Activités de surveillance</t>
  </si>
  <si>
    <t xml:space="preserve">Détection des connexions et transactions anormales, supervision SOC.</t>
  </si>
  <si>
    <t xml:space="preserve">M_04, M_14, M_19, M_23</t>
  </si>
  <si>
    <t xml:space="preserve">CA_01, CA_03, CA_05, CA_06, CA_07</t>
  </si>
  <si>
    <t xml:space="preserve">8.17</t>
  </si>
  <si>
    <t xml:space="preserve">Synchronisation des horloges</t>
  </si>
  <si>
    <t xml:space="preserve">Horodatage fiable des journaux, nécessaire aux preuves et aux enquêtes.</t>
  </si>
  <si>
    <t xml:space="preserve">8.18</t>
  </si>
  <si>
    <t xml:space="preserve">Utilisation de programmes utilitaires à privilèges</t>
  </si>
  <si>
    <t xml:space="preserve">Outils d'administration utilisables pour désactiver la sécurité.</t>
  </si>
  <si>
    <t xml:space="preserve">M_12</t>
  </si>
  <si>
    <t xml:space="preserve">8.19</t>
  </si>
  <si>
    <t xml:space="preserve">Installation de logiciels sur des systèmes opérationnels</t>
  </si>
  <si>
    <t xml:space="preserve">Mises à jour de l'éditeur core banking validées avant production.</t>
  </si>
  <si>
    <t xml:space="preserve">M_10</t>
  </si>
  <si>
    <t xml:space="preserve">8.20</t>
  </si>
  <si>
    <t xml:space="preserve">Sécurité des réseaux</t>
  </si>
  <si>
    <t xml:space="preserve">Réseau AWS (VPC) et accès distants.</t>
  </si>
  <si>
    <t xml:space="preserve">8.21</t>
  </si>
  <si>
    <t xml:space="preserve">Sécurité des services réseau</t>
  </si>
  <si>
    <t xml:space="preserve">Liaisons avec le processeur de paiement et les prestataires.</t>
  </si>
  <si>
    <t xml:space="preserve">CA_02</t>
  </si>
  <si>
    <t xml:space="preserve">8.22</t>
  </si>
  <si>
    <t xml:space="preserve">Cloisonnement des réseaux</t>
  </si>
  <si>
    <t xml:space="preserve">Limiter la propagation d'un rançongiciel vers le core banking.</t>
  </si>
  <si>
    <t xml:space="preserve">8.23</t>
  </si>
  <si>
    <t xml:space="preserve">Filtrage web</t>
  </si>
  <si>
    <t xml:space="preserve">Bloquer les sites de phishing et de téléchargement malveillant.</t>
  </si>
  <si>
    <t xml:space="preserve">8.24</t>
  </si>
  <si>
    <t xml:space="preserve">Utilisation de la cryptographie</t>
  </si>
  <si>
    <t xml:space="preserve">Chiffrement des données clients et des flux de paiement.</t>
  </si>
  <si>
    <t xml:space="preserve">CA_01, CA_02</t>
  </si>
  <si>
    <t xml:space="preserve">8.25</t>
  </si>
  <si>
    <t xml:space="preserve">Cycle de vie de développement sécurisé</t>
  </si>
  <si>
    <t xml:space="preserve">Développement de l'application mobile bancaire.</t>
  </si>
  <si>
    <t xml:space="preserve">CA_01</t>
  </si>
  <si>
    <t xml:space="preserve">8.26</t>
  </si>
  <si>
    <t xml:space="preserve">Exigences de sécurité des applications</t>
  </si>
  <si>
    <t xml:space="preserve">Fonctions anti-fraude intégrées à l'appli (alertes, délai, validation).</t>
  </si>
  <si>
    <t xml:space="preserve">M_02, M_03, M_05</t>
  </si>
  <si>
    <t xml:space="preserve">CA_01, CA_07</t>
  </si>
  <si>
    <t xml:space="preserve">8.27</t>
  </si>
  <si>
    <t xml:space="preserve">Principes d'ingénierie et d'architecture des systèmes sécurisés</t>
  </si>
  <si>
    <t xml:space="preserve">Architecture cloud sécurisée dès la conception.</t>
  </si>
  <si>
    <t xml:space="preserve">8.28</t>
  </si>
  <si>
    <t xml:space="preserve">Codage sécurisé</t>
  </si>
  <si>
    <t xml:space="preserve">Code de l'application mobile exposé à Internet.</t>
  </si>
  <si>
    <t xml:space="preserve">8.29</t>
  </si>
  <si>
    <t xml:space="preserve">Tests de sécurité dans le développement et l'acceptation</t>
  </si>
  <si>
    <t xml:space="preserve">Tests avant mise en production ; DORA impose des tests de résilience.</t>
  </si>
  <si>
    <t xml:space="preserve">8.30</t>
  </si>
  <si>
    <t xml:space="preserve">Développement externalisé</t>
  </si>
  <si>
    <t xml:space="preserve">Une partie des briques (core banking, KYC) est développée par des prestataires.</t>
  </si>
  <si>
    <t xml:space="preserve">8.31</t>
  </si>
  <si>
    <t xml:space="preserve">Séparation des environnements</t>
  </si>
  <si>
    <t xml:space="preserve">Préproduction distincte de la production pour tester les mises à jour.</t>
  </si>
  <si>
    <t xml:space="preserve">8.32</t>
  </si>
  <si>
    <t xml:space="preserve">Gestion des changements</t>
  </si>
  <si>
    <t xml:space="preserve">Changements du core banking et de l'appli validés et tracés.</t>
  </si>
  <si>
    <t xml:space="preserve">8.33</t>
  </si>
  <si>
    <t xml:space="preserve">Informations de test</t>
  </si>
  <si>
    <t xml:space="preserve">Pas de données clients réelles en préproduction sans masquage.</t>
  </si>
  <si>
    <t xml:space="preserve">8.34</t>
  </si>
  <si>
    <t xml:space="preserve">Protection des SI en cours d'audit</t>
  </si>
  <si>
    <t xml:space="preserve">Encadrer les audits et tests TLPT pour ne pas perturber la production.</t>
  </si>
  <si>
    <t xml:space="preserve">Contrôles</t>
  </si>
  <si>
    <t xml:space="preserve">Applicables</t>
  </si>
  <si>
    <t xml:space="preserve">Exclus</t>
  </si>
  <si>
    <t xml:space="preserve">Taux d'applicabilité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</si>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</sst>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E7E6E6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7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0"/>
  </cols>
  <sheetData>
    <row r="1" customFormat="false" ht="26.8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customFormat="false" ht="23.8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</row>
    <row r="3" customFormat="false" ht="23.85" hidden="false" customHeight="false" outlineLevel="0" collapsed="false">
      <c r="A3" s="5" t="s">
        <v>28</v>
      </c>
      <c r="B3" s="5" t="s">
        <v>21</v>
      </c>
      <c r="C3" s="5" t="s">
        <v>29</v>
      </c>
      <c r="D3" s="5" t="s">
        <v>23</v>
      </c>
      <c r="E3" s="5" t="s">
        <v>30</v>
      </c>
      <c r="F3" s="5" t="s">
        <v>31</v>
      </c>
      <c r="G3" s="5" t="s">
        <v>26</v>
      </c>
      <c r="H3" s="5" t="s">
        <v>32</v>
      </c>
    </row>
    <row r="4" customFormat="false" ht="15" hidden="false" customHeight="false" outlineLevel="0" collapsed="false">
      <c r="A4" s="5" t="s">
        <v>33</v>
      </c>
      <c r="B4" s="5" t="s">
        <v>21</v>
      </c>
      <c r="C4" s="5" t="s">
        <v>34</v>
      </c>
      <c r="D4" s="5" t="s">
        <v>23</v>
      </c>
      <c r="E4" s="5" t="s">
        <v>35</v>
      </c>
      <c r="F4" s="5" t="s">
        <v>36</v>
      </c>
      <c r="G4" s="5" t="s">
        <v>37</v>
      </c>
      <c r="H4" s="5" t="s">
        <v>27</v>
      </c>
    </row>
    <row r="5" customFormat="false" ht="15" hidden="false" customHeight="false" outlineLevel="0" collapsed="false">
      <c r="A5" s="5" t="s">
        <v>38</v>
      </c>
      <c r="B5" s="5" t="s">
        <v>21</v>
      </c>
      <c r="C5" s="5" t="s">
        <v>39</v>
      </c>
      <c r="D5" s="5" t="s">
        <v>23</v>
      </c>
      <c r="E5" s="5" t="s">
        <v>40</v>
      </c>
      <c r="F5" s="5" t="s">
        <v>31</v>
      </c>
      <c r="G5" s="5" t="s">
        <v>26</v>
      </c>
      <c r="H5" s="5" t="s">
        <v>32</v>
      </c>
    </row>
    <row r="6" customFormat="false" ht="23.85" hidden="false" customHeight="false" outlineLevel="0" collapsed="false">
      <c r="A6" s="5" t="s">
        <v>41</v>
      </c>
      <c r="B6" s="5" t="s">
        <v>21</v>
      </c>
      <c r="C6" s="5" t="s">
        <v>42</v>
      </c>
      <c r="D6" s="5" t="s">
        <v>23</v>
      </c>
      <c r="E6" s="5" t="s">
        <v>43</v>
      </c>
      <c r="F6" s="5" t="s">
        <v>44</v>
      </c>
      <c r="G6" s="5" t="s">
        <v>45</v>
      </c>
      <c r="H6" s="5" t="s">
        <v>27</v>
      </c>
    </row>
    <row r="7" customFormat="false" ht="15" hidden="false" customHeight="false" outlineLevel="0" collapsed="false">
      <c r="A7" s="5" t="s">
        <v>46</v>
      </c>
      <c r="B7" s="5" t="s">
        <v>21</v>
      </c>
      <c r="C7" s="5" t="s">
        <v>47</v>
      </c>
      <c r="D7" s="5" t="s">
        <v>23</v>
      </c>
      <c r="E7" s="5" t="s">
        <v>48</v>
      </c>
      <c r="F7" s="5" t="s">
        <v>25</v>
      </c>
      <c r="G7" s="5" t="s">
        <v>49</v>
      </c>
      <c r="H7" s="5" t="s">
        <v>27</v>
      </c>
    </row>
    <row r="8" customFormat="false" ht="15" hidden="false" customHeight="false" outlineLevel="0" collapsed="false">
      <c r="A8" s="5" t="s">
        <v>50</v>
      </c>
      <c r="B8" s="5" t="s">
        <v>21</v>
      </c>
      <c r="C8" s="5" t="s">
        <v>51</v>
      </c>
      <c r="D8" s="5" t="s">
        <v>23</v>
      </c>
      <c r="E8" s="5" t="s">
        <v>52</v>
      </c>
      <c r="F8" s="5" t="s">
        <v>53</v>
      </c>
      <c r="G8" s="5" t="s">
        <v>54</v>
      </c>
      <c r="H8" s="5" t="s">
        <v>27</v>
      </c>
    </row>
    <row r="9" customFormat="false" ht="23.85" hidden="false" customHeight="false" outlineLevel="0" collapsed="false">
      <c r="A9" s="5" t="s">
        <v>55</v>
      </c>
      <c r="B9" s="5" t="s">
        <v>21</v>
      </c>
      <c r="C9" s="5" t="s">
        <v>56</v>
      </c>
      <c r="D9" s="5" t="s">
        <v>23</v>
      </c>
      <c r="E9" s="5" t="s">
        <v>57</v>
      </c>
      <c r="F9" s="5" t="s">
        <v>25</v>
      </c>
      <c r="G9" s="5" t="s">
        <v>58</v>
      </c>
      <c r="H9" s="5" t="s">
        <v>27</v>
      </c>
    </row>
    <row r="10" customFormat="false" ht="15" hidden="false" customHeight="false" outlineLevel="0" collapsed="false">
      <c r="A10" s="5" t="s">
        <v>59</v>
      </c>
      <c r="B10" s="5" t="s">
        <v>21</v>
      </c>
      <c r="C10" s="5" t="s">
        <v>60</v>
      </c>
      <c r="D10" s="5" t="s">
        <v>23</v>
      </c>
      <c r="E10" s="5" t="s">
        <v>61</v>
      </c>
      <c r="F10" s="5" t="s">
        <v>62</v>
      </c>
      <c r="G10" s="5" t="s">
        <v>26</v>
      </c>
      <c r="H10" s="5" t="s">
        <v>32</v>
      </c>
    </row>
    <row r="11" customFormat="false" ht="15" hidden="false" customHeight="false" outlineLevel="0" collapsed="false">
      <c r="A11" s="5" t="s">
        <v>63</v>
      </c>
      <c r="B11" s="5" t="s">
        <v>21</v>
      </c>
      <c r="C11" s="5" t="s">
        <v>64</v>
      </c>
      <c r="D11" s="5" t="s">
        <v>23</v>
      </c>
      <c r="E11" s="5" t="s">
        <v>65</v>
      </c>
      <c r="F11" s="5" t="s">
        <v>25</v>
      </c>
      <c r="G11" s="5" t="s">
        <v>66</v>
      </c>
      <c r="H11" s="5" t="s">
        <v>27</v>
      </c>
    </row>
    <row r="12" customFormat="false" ht="15" hidden="false" customHeight="false" outlineLevel="0" collapsed="false">
      <c r="A12" s="5" t="s">
        <v>67</v>
      </c>
      <c r="B12" s="5" t="s">
        <v>21</v>
      </c>
      <c r="C12" s="5" t="s">
        <v>68</v>
      </c>
      <c r="D12" s="5" t="s">
        <v>23</v>
      </c>
      <c r="E12" s="5" t="s">
        <v>69</v>
      </c>
      <c r="F12" s="5" t="s">
        <v>36</v>
      </c>
      <c r="G12" s="5" t="s">
        <v>37</v>
      </c>
      <c r="H12" s="5" t="s">
        <v>27</v>
      </c>
    </row>
    <row r="13" customFormat="false" ht="15" hidden="false" customHeight="false" outlineLevel="0" collapsed="false">
      <c r="A13" s="5" t="s">
        <v>70</v>
      </c>
      <c r="B13" s="5" t="s">
        <v>21</v>
      </c>
      <c r="C13" s="5" t="s">
        <v>71</v>
      </c>
      <c r="D13" s="5" t="s">
        <v>23</v>
      </c>
      <c r="E13" s="5" t="s">
        <v>72</v>
      </c>
      <c r="F13" s="5" t="s">
        <v>62</v>
      </c>
      <c r="G13" s="5" t="s">
        <v>26</v>
      </c>
      <c r="H13" s="5" t="s">
        <v>32</v>
      </c>
    </row>
    <row r="14" customFormat="false" ht="15" hidden="false" customHeight="false" outlineLevel="0" collapsed="false">
      <c r="A14" s="5" t="s">
        <v>73</v>
      </c>
      <c r="B14" s="5" t="s">
        <v>21</v>
      </c>
      <c r="C14" s="5" t="s">
        <v>74</v>
      </c>
      <c r="D14" s="5" t="s">
        <v>23</v>
      </c>
      <c r="E14" s="5" t="s">
        <v>75</v>
      </c>
      <c r="F14" s="5" t="s">
        <v>25</v>
      </c>
      <c r="G14" s="5" t="s">
        <v>37</v>
      </c>
      <c r="H14" s="5" t="s">
        <v>27</v>
      </c>
    </row>
    <row r="15" customFormat="false" ht="15" hidden="false" customHeight="false" outlineLevel="0" collapsed="false">
      <c r="A15" s="5" t="s">
        <v>76</v>
      </c>
      <c r="B15" s="5" t="s">
        <v>21</v>
      </c>
      <c r="C15" s="5" t="s">
        <v>77</v>
      </c>
      <c r="D15" s="5" t="s">
        <v>23</v>
      </c>
      <c r="E15" s="5" t="s">
        <v>78</v>
      </c>
      <c r="F15" s="5" t="s">
        <v>79</v>
      </c>
      <c r="G15" s="5" t="s">
        <v>80</v>
      </c>
      <c r="H15" s="5" t="s">
        <v>27</v>
      </c>
    </row>
    <row r="16" customFormat="false" ht="15" hidden="false" customHeight="false" outlineLevel="0" collapsed="false">
      <c r="A16" s="5" t="s">
        <v>81</v>
      </c>
      <c r="B16" s="5" t="s">
        <v>21</v>
      </c>
      <c r="C16" s="5" t="s">
        <v>82</v>
      </c>
      <c r="D16" s="5" t="s">
        <v>23</v>
      </c>
      <c r="E16" s="5" t="s">
        <v>83</v>
      </c>
      <c r="F16" s="5" t="s">
        <v>84</v>
      </c>
      <c r="G16" s="5" t="s">
        <v>37</v>
      </c>
      <c r="H16" s="5" t="s">
        <v>27</v>
      </c>
    </row>
    <row r="17" customFormat="false" ht="23.85" hidden="false" customHeight="false" outlineLevel="0" collapsed="false">
      <c r="A17" s="5" t="s">
        <v>85</v>
      </c>
      <c r="B17" s="5" t="s">
        <v>21</v>
      </c>
      <c r="C17" s="5" t="s">
        <v>86</v>
      </c>
      <c r="D17" s="5" t="s">
        <v>23</v>
      </c>
      <c r="E17" s="5" t="s">
        <v>87</v>
      </c>
      <c r="F17" s="5" t="s">
        <v>36</v>
      </c>
      <c r="G17" s="5" t="s">
        <v>37</v>
      </c>
      <c r="H17" s="5" t="s">
        <v>27</v>
      </c>
    </row>
    <row r="18" customFormat="false" ht="23.85" hidden="false" customHeight="false" outlineLevel="0" collapsed="false">
      <c r="A18" s="5" t="s">
        <v>88</v>
      </c>
      <c r="B18" s="5" t="s">
        <v>21</v>
      </c>
      <c r="C18" s="5" t="s">
        <v>89</v>
      </c>
      <c r="D18" s="5" t="s">
        <v>23</v>
      </c>
      <c r="E18" s="5" t="s">
        <v>90</v>
      </c>
      <c r="F18" s="5" t="s">
        <v>91</v>
      </c>
      <c r="G18" s="5" t="s">
        <v>92</v>
      </c>
      <c r="H18" s="5" t="s">
        <v>32</v>
      </c>
    </row>
    <row r="19" customFormat="false" ht="15" hidden="false" customHeight="false" outlineLevel="0" collapsed="false">
      <c r="A19" s="5" t="s">
        <v>93</v>
      </c>
      <c r="B19" s="5" t="s">
        <v>21</v>
      </c>
      <c r="C19" s="5" t="s">
        <v>94</v>
      </c>
      <c r="D19" s="5" t="s">
        <v>23</v>
      </c>
      <c r="E19" s="5" t="s">
        <v>95</v>
      </c>
      <c r="F19" s="5" t="s">
        <v>84</v>
      </c>
      <c r="G19" s="5" t="s">
        <v>37</v>
      </c>
      <c r="H19" s="5" t="s">
        <v>27</v>
      </c>
    </row>
    <row r="20" customFormat="false" ht="23.85" hidden="false" customHeight="false" outlineLevel="0" collapsed="false">
      <c r="A20" s="5" t="s">
        <v>96</v>
      </c>
      <c r="B20" s="5" t="s">
        <v>21</v>
      </c>
      <c r="C20" s="5" t="s">
        <v>97</v>
      </c>
      <c r="D20" s="5" t="s">
        <v>23</v>
      </c>
      <c r="E20" s="5" t="s">
        <v>98</v>
      </c>
      <c r="F20" s="5" t="s">
        <v>99</v>
      </c>
      <c r="G20" s="5" t="s">
        <v>100</v>
      </c>
      <c r="H20" s="5" t="s">
        <v>27</v>
      </c>
    </row>
    <row r="21" customFormat="false" ht="15" hidden="false" customHeight="false" outlineLevel="0" collapsed="false">
      <c r="A21" s="5" t="s">
        <v>101</v>
      </c>
      <c r="B21" s="5" t="s">
        <v>21</v>
      </c>
      <c r="C21" s="5" t="s">
        <v>102</v>
      </c>
      <c r="D21" s="5" t="s">
        <v>23</v>
      </c>
      <c r="E21" s="5" t="s">
        <v>103</v>
      </c>
      <c r="F21" s="5" t="s">
        <v>99</v>
      </c>
      <c r="G21" s="5" t="s">
        <v>100</v>
      </c>
      <c r="H21" s="5" t="s">
        <v>27</v>
      </c>
    </row>
    <row r="22" customFormat="false" ht="15" hidden="false" customHeight="false" outlineLevel="0" collapsed="false">
      <c r="A22" s="5" t="s">
        <v>104</v>
      </c>
      <c r="B22" s="5" t="s">
        <v>21</v>
      </c>
      <c r="C22" s="5" t="s">
        <v>105</v>
      </c>
      <c r="D22" s="5" t="s">
        <v>23</v>
      </c>
      <c r="E22" s="5" t="s">
        <v>106</v>
      </c>
      <c r="F22" s="5" t="s">
        <v>107</v>
      </c>
      <c r="G22" s="5" t="s">
        <v>58</v>
      </c>
      <c r="H22" s="5" t="s">
        <v>27</v>
      </c>
    </row>
    <row r="23" customFormat="false" ht="23.85" hidden="false" customHeight="false" outlineLevel="0" collapsed="false">
      <c r="A23" s="5" t="s">
        <v>108</v>
      </c>
      <c r="B23" s="5" t="s">
        <v>21</v>
      </c>
      <c r="C23" s="5" t="s">
        <v>109</v>
      </c>
      <c r="D23" s="5" t="s">
        <v>23</v>
      </c>
      <c r="E23" s="5" t="s">
        <v>110</v>
      </c>
      <c r="F23" s="5" t="s">
        <v>79</v>
      </c>
      <c r="G23" s="5" t="s">
        <v>80</v>
      </c>
      <c r="H23" s="5" t="s">
        <v>27</v>
      </c>
    </row>
    <row r="24" customFormat="false" ht="15" hidden="false" customHeight="false" outlineLevel="0" collapsed="false">
      <c r="A24" s="5" t="s">
        <v>111</v>
      </c>
      <c r="B24" s="5" t="s">
        <v>21</v>
      </c>
      <c r="C24" s="5" t="s">
        <v>112</v>
      </c>
      <c r="D24" s="5" t="s">
        <v>23</v>
      </c>
      <c r="E24" s="5" t="s">
        <v>113</v>
      </c>
      <c r="F24" s="5" t="s">
        <v>79</v>
      </c>
      <c r="G24" s="5" t="s">
        <v>80</v>
      </c>
      <c r="H24" s="5" t="s">
        <v>27</v>
      </c>
    </row>
    <row r="25" customFormat="false" ht="15" hidden="false" customHeight="false" outlineLevel="0" collapsed="false">
      <c r="A25" s="5" t="s">
        <v>114</v>
      </c>
      <c r="B25" s="5" t="s">
        <v>21</v>
      </c>
      <c r="C25" s="5" t="s">
        <v>115</v>
      </c>
      <c r="D25" s="5" t="s">
        <v>23</v>
      </c>
      <c r="E25" s="5" t="s">
        <v>116</v>
      </c>
      <c r="F25" s="5" t="s">
        <v>117</v>
      </c>
      <c r="G25" s="5" t="s">
        <v>118</v>
      </c>
      <c r="H25" s="5" t="s">
        <v>27</v>
      </c>
    </row>
    <row r="26" customFormat="false" ht="15" hidden="false" customHeight="false" outlineLevel="0" collapsed="false">
      <c r="A26" s="5" t="s">
        <v>119</v>
      </c>
      <c r="B26" s="5" t="s">
        <v>21</v>
      </c>
      <c r="C26" s="5" t="s">
        <v>120</v>
      </c>
      <c r="D26" s="5" t="s">
        <v>23</v>
      </c>
      <c r="E26" s="5" t="s">
        <v>121</v>
      </c>
      <c r="F26" s="5" t="s">
        <v>122</v>
      </c>
      <c r="G26" s="5" t="s">
        <v>118</v>
      </c>
      <c r="H26" s="5" t="s">
        <v>27</v>
      </c>
    </row>
    <row r="27" customFormat="false" ht="15" hidden="false" customHeight="false" outlineLevel="0" collapsed="false">
      <c r="A27" s="5" t="s">
        <v>123</v>
      </c>
      <c r="B27" s="5" t="s">
        <v>21</v>
      </c>
      <c r="C27" s="5" t="s">
        <v>124</v>
      </c>
      <c r="D27" s="5" t="s">
        <v>23</v>
      </c>
      <c r="E27" s="5" t="s">
        <v>125</v>
      </c>
      <c r="F27" s="5" t="s">
        <v>117</v>
      </c>
      <c r="G27" s="5" t="s">
        <v>118</v>
      </c>
      <c r="H27" s="5" t="s">
        <v>27</v>
      </c>
    </row>
    <row r="28" customFormat="false" ht="15" hidden="false" customHeight="false" outlineLevel="0" collapsed="false">
      <c r="A28" s="5" t="s">
        <v>126</v>
      </c>
      <c r="B28" s="5" t="s">
        <v>21</v>
      </c>
      <c r="C28" s="5" t="s">
        <v>127</v>
      </c>
      <c r="D28" s="5" t="s">
        <v>23</v>
      </c>
      <c r="E28" s="5" t="s">
        <v>128</v>
      </c>
      <c r="F28" s="5" t="s">
        <v>117</v>
      </c>
      <c r="G28" s="5" t="s">
        <v>118</v>
      </c>
      <c r="H28" s="5" t="s">
        <v>27</v>
      </c>
    </row>
    <row r="29" customFormat="false" ht="15" hidden="false" customHeight="false" outlineLevel="0" collapsed="false">
      <c r="A29" s="5" t="s">
        <v>129</v>
      </c>
      <c r="B29" s="5" t="s">
        <v>21</v>
      </c>
      <c r="C29" s="5" t="s">
        <v>130</v>
      </c>
      <c r="D29" s="5" t="s">
        <v>23</v>
      </c>
      <c r="E29" s="5" t="s">
        <v>131</v>
      </c>
      <c r="F29" s="5" t="s">
        <v>132</v>
      </c>
      <c r="G29" s="5" t="s">
        <v>37</v>
      </c>
      <c r="H29" s="5" t="s">
        <v>27</v>
      </c>
    </row>
    <row r="30" customFormat="false" ht="15" hidden="false" customHeight="false" outlineLevel="0" collapsed="false">
      <c r="A30" s="5" t="s">
        <v>133</v>
      </c>
      <c r="B30" s="5" t="s">
        <v>21</v>
      </c>
      <c r="C30" s="5" t="s">
        <v>134</v>
      </c>
      <c r="D30" s="5" t="s">
        <v>23</v>
      </c>
      <c r="E30" s="5" t="s">
        <v>135</v>
      </c>
      <c r="F30" s="5" t="s">
        <v>136</v>
      </c>
      <c r="G30" s="5" t="s">
        <v>137</v>
      </c>
      <c r="H30" s="5" t="s">
        <v>27</v>
      </c>
    </row>
    <row r="31" customFormat="false" ht="15" hidden="false" customHeight="false" outlineLevel="0" collapsed="false">
      <c r="A31" s="5" t="s">
        <v>138</v>
      </c>
      <c r="B31" s="5" t="s">
        <v>21</v>
      </c>
      <c r="C31" s="5" t="s">
        <v>139</v>
      </c>
      <c r="D31" s="5" t="s">
        <v>23</v>
      </c>
      <c r="E31" s="5" t="s">
        <v>140</v>
      </c>
      <c r="F31" s="5" t="s">
        <v>141</v>
      </c>
      <c r="G31" s="5" t="s">
        <v>137</v>
      </c>
      <c r="H31" s="5" t="s">
        <v>27</v>
      </c>
    </row>
    <row r="32" customFormat="false" ht="23.85" hidden="false" customHeight="false" outlineLevel="0" collapsed="false">
      <c r="A32" s="5" t="s">
        <v>142</v>
      </c>
      <c r="B32" s="5" t="s">
        <v>21</v>
      </c>
      <c r="C32" s="5" t="s">
        <v>143</v>
      </c>
      <c r="D32" s="5" t="s">
        <v>23</v>
      </c>
      <c r="E32" s="5" t="s">
        <v>144</v>
      </c>
      <c r="F32" s="5" t="s">
        <v>145</v>
      </c>
      <c r="G32" s="5" t="s">
        <v>26</v>
      </c>
      <c r="H32" s="5" t="s">
        <v>27</v>
      </c>
    </row>
    <row r="33" customFormat="false" ht="15" hidden="false" customHeight="false" outlineLevel="0" collapsed="false">
      <c r="A33" s="5" t="s">
        <v>146</v>
      </c>
      <c r="B33" s="5" t="s">
        <v>21</v>
      </c>
      <c r="C33" s="5" t="s">
        <v>147</v>
      </c>
      <c r="D33" s="5" t="s">
        <v>23</v>
      </c>
      <c r="E33" s="5" t="s">
        <v>148</v>
      </c>
      <c r="F33" s="5" t="s">
        <v>25</v>
      </c>
      <c r="G33" s="5" t="s">
        <v>149</v>
      </c>
      <c r="H33" s="5" t="s">
        <v>27</v>
      </c>
    </row>
    <row r="34" customFormat="false" ht="15" hidden="false" customHeight="false" outlineLevel="0" collapsed="false">
      <c r="A34" s="5" t="s">
        <v>150</v>
      </c>
      <c r="B34" s="5" t="s">
        <v>21</v>
      </c>
      <c r="C34" s="5" t="s">
        <v>151</v>
      </c>
      <c r="D34" s="5" t="s">
        <v>23</v>
      </c>
      <c r="E34" s="5" t="s">
        <v>152</v>
      </c>
      <c r="F34" s="5" t="s">
        <v>132</v>
      </c>
      <c r="G34" s="5" t="s">
        <v>153</v>
      </c>
      <c r="H34" s="5" t="s">
        <v>27</v>
      </c>
    </row>
    <row r="35" customFormat="false" ht="15" hidden="false" customHeight="false" outlineLevel="0" collapsed="false">
      <c r="A35" s="5" t="s">
        <v>154</v>
      </c>
      <c r="B35" s="5" t="s">
        <v>21</v>
      </c>
      <c r="C35" s="5" t="s">
        <v>155</v>
      </c>
      <c r="D35" s="5" t="s">
        <v>23</v>
      </c>
      <c r="E35" s="5" t="s">
        <v>156</v>
      </c>
      <c r="F35" s="5" t="s">
        <v>84</v>
      </c>
      <c r="G35" s="5" t="s">
        <v>157</v>
      </c>
      <c r="H35" s="5" t="s">
        <v>27</v>
      </c>
    </row>
    <row r="36" customFormat="false" ht="15" hidden="false" customHeight="false" outlineLevel="0" collapsed="false">
      <c r="A36" s="5" t="s">
        <v>158</v>
      </c>
      <c r="B36" s="5" t="s">
        <v>21</v>
      </c>
      <c r="C36" s="5" t="s">
        <v>159</v>
      </c>
      <c r="D36" s="5" t="s">
        <v>23</v>
      </c>
      <c r="E36" s="5" t="s">
        <v>160</v>
      </c>
      <c r="F36" s="5" t="s">
        <v>25</v>
      </c>
      <c r="G36" s="5" t="s">
        <v>26</v>
      </c>
      <c r="H36" s="5" t="s">
        <v>27</v>
      </c>
    </row>
    <row r="37" customFormat="false" ht="15" hidden="false" customHeight="false" outlineLevel="0" collapsed="false">
      <c r="A37" s="5" t="s">
        <v>161</v>
      </c>
      <c r="B37" s="5" t="s">
        <v>21</v>
      </c>
      <c r="C37" s="5" t="s">
        <v>162</v>
      </c>
      <c r="D37" s="5" t="s">
        <v>23</v>
      </c>
      <c r="E37" s="5" t="s">
        <v>163</v>
      </c>
      <c r="F37" s="5" t="s">
        <v>31</v>
      </c>
      <c r="G37" s="5" t="s">
        <v>26</v>
      </c>
      <c r="H37" s="5" t="s">
        <v>27</v>
      </c>
    </row>
    <row r="38" customFormat="false" ht="15" hidden="false" customHeight="false" outlineLevel="0" collapsed="false">
      <c r="A38" s="5" t="s">
        <v>164</v>
      </c>
      <c r="B38" s="5" t="s">
        <v>21</v>
      </c>
      <c r="C38" s="5" t="s">
        <v>165</v>
      </c>
      <c r="D38" s="5" t="s">
        <v>23</v>
      </c>
      <c r="E38" s="5" t="s">
        <v>166</v>
      </c>
      <c r="F38" s="5" t="s">
        <v>141</v>
      </c>
      <c r="G38" s="5" t="s">
        <v>137</v>
      </c>
      <c r="H38" s="5" t="s">
        <v>27</v>
      </c>
    </row>
    <row r="39" customFormat="false" ht="15" hidden="false" customHeight="false" outlineLevel="0" collapsed="false">
      <c r="A39" s="5" t="s">
        <v>167</v>
      </c>
      <c r="B39" s="5" t="s">
        <v>168</v>
      </c>
      <c r="C39" s="5" t="s">
        <v>169</v>
      </c>
      <c r="D39" s="5" t="s">
        <v>23</v>
      </c>
      <c r="E39" s="5" t="s">
        <v>170</v>
      </c>
      <c r="F39" s="5" t="s">
        <v>25</v>
      </c>
      <c r="G39" s="5" t="s">
        <v>37</v>
      </c>
      <c r="H39" s="5" t="s">
        <v>27</v>
      </c>
    </row>
    <row r="40" customFormat="false" ht="15" hidden="false" customHeight="false" outlineLevel="0" collapsed="false">
      <c r="A40" s="5" t="s">
        <v>171</v>
      </c>
      <c r="B40" s="5" t="s">
        <v>168</v>
      </c>
      <c r="C40" s="5" t="s">
        <v>172</v>
      </c>
      <c r="D40" s="5" t="s">
        <v>23</v>
      </c>
      <c r="E40" s="5" t="s">
        <v>173</v>
      </c>
      <c r="F40" s="5" t="s">
        <v>25</v>
      </c>
      <c r="G40" s="5" t="s">
        <v>37</v>
      </c>
      <c r="H40" s="5" t="s">
        <v>27</v>
      </c>
    </row>
    <row r="41" customFormat="false" ht="15" hidden="false" customHeight="false" outlineLevel="0" collapsed="false">
      <c r="A41" s="5" t="s">
        <v>174</v>
      </c>
      <c r="B41" s="5" t="s">
        <v>168</v>
      </c>
      <c r="C41" s="5" t="s">
        <v>175</v>
      </c>
      <c r="D41" s="5" t="s">
        <v>23</v>
      </c>
      <c r="E41" s="5" t="s">
        <v>176</v>
      </c>
      <c r="F41" s="5" t="s">
        <v>177</v>
      </c>
      <c r="G41" s="5" t="s">
        <v>178</v>
      </c>
      <c r="H41" s="5" t="s">
        <v>27</v>
      </c>
    </row>
    <row r="42" customFormat="false" ht="15" hidden="false" customHeight="false" outlineLevel="0" collapsed="false">
      <c r="A42" s="5" t="s">
        <v>179</v>
      </c>
      <c r="B42" s="5" t="s">
        <v>168</v>
      </c>
      <c r="C42" s="5" t="s">
        <v>180</v>
      </c>
      <c r="D42" s="5" t="s">
        <v>23</v>
      </c>
      <c r="E42" s="5" t="s">
        <v>181</v>
      </c>
      <c r="F42" s="5" t="s">
        <v>25</v>
      </c>
      <c r="G42" s="5" t="s">
        <v>37</v>
      </c>
      <c r="H42" s="5" t="s">
        <v>27</v>
      </c>
    </row>
    <row r="43" customFormat="false" ht="15" hidden="false" customHeight="false" outlineLevel="0" collapsed="false">
      <c r="A43" s="5" t="s">
        <v>182</v>
      </c>
      <c r="B43" s="5" t="s">
        <v>168</v>
      </c>
      <c r="C43" s="5" t="s">
        <v>183</v>
      </c>
      <c r="D43" s="5" t="s">
        <v>23</v>
      </c>
      <c r="E43" s="5" t="s">
        <v>184</v>
      </c>
      <c r="F43" s="5" t="s">
        <v>36</v>
      </c>
      <c r="G43" s="5" t="s">
        <v>37</v>
      </c>
      <c r="H43" s="5" t="s">
        <v>27</v>
      </c>
    </row>
    <row r="44" customFormat="false" ht="15" hidden="false" customHeight="false" outlineLevel="0" collapsed="false">
      <c r="A44" s="5" t="s">
        <v>185</v>
      </c>
      <c r="B44" s="5" t="s">
        <v>168</v>
      </c>
      <c r="C44" s="5" t="s">
        <v>186</v>
      </c>
      <c r="D44" s="5" t="s">
        <v>23</v>
      </c>
      <c r="E44" s="5" t="s">
        <v>187</v>
      </c>
      <c r="F44" s="5" t="s">
        <v>188</v>
      </c>
      <c r="G44" s="5" t="s">
        <v>37</v>
      </c>
      <c r="H44" s="5" t="s">
        <v>27</v>
      </c>
    </row>
    <row r="45" customFormat="false" ht="15" hidden="false" customHeight="false" outlineLevel="0" collapsed="false">
      <c r="A45" s="5" t="s">
        <v>189</v>
      </c>
      <c r="B45" s="5" t="s">
        <v>168</v>
      </c>
      <c r="C45" s="5" t="s">
        <v>190</v>
      </c>
      <c r="D45" s="5" t="s">
        <v>23</v>
      </c>
      <c r="E45" s="5" t="s">
        <v>191</v>
      </c>
      <c r="F45" s="5" t="s">
        <v>192</v>
      </c>
      <c r="G45" s="5" t="s">
        <v>178</v>
      </c>
      <c r="H45" s="5" t="s">
        <v>27</v>
      </c>
    </row>
    <row r="46" customFormat="false" ht="15" hidden="false" customHeight="false" outlineLevel="0" collapsed="false">
      <c r="A46" s="5" t="s">
        <v>193</v>
      </c>
      <c r="B46" s="5" t="s">
        <v>168</v>
      </c>
      <c r="C46" s="5" t="s">
        <v>194</v>
      </c>
      <c r="D46" s="5" t="s">
        <v>23</v>
      </c>
      <c r="E46" s="5" t="s">
        <v>195</v>
      </c>
      <c r="F46" s="5" t="s">
        <v>196</v>
      </c>
      <c r="G46" s="5" t="s">
        <v>178</v>
      </c>
      <c r="H46" s="5" t="s">
        <v>27</v>
      </c>
    </row>
    <row r="47" customFormat="false" ht="15" hidden="false" customHeight="false" outlineLevel="0" collapsed="false">
      <c r="A47" s="5" t="s">
        <v>197</v>
      </c>
      <c r="B47" s="5" t="s">
        <v>198</v>
      </c>
      <c r="C47" s="5" t="s">
        <v>199</v>
      </c>
      <c r="D47" s="5" t="s">
        <v>23</v>
      </c>
      <c r="E47" s="5" t="s">
        <v>200</v>
      </c>
      <c r="F47" s="5" t="s">
        <v>25</v>
      </c>
      <c r="G47" s="5" t="s">
        <v>37</v>
      </c>
      <c r="H47" s="5" t="s">
        <v>27</v>
      </c>
    </row>
    <row r="48" customFormat="false" ht="15" hidden="false" customHeight="false" outlineLevel="0" collapsed="false">
      <c r="A48" s="5" t="s">
        <v>201</v>
      </c>
      <c r="B48" s="5" t="s">
        <v>198</v>
      </c>
      <c r="C48" s="5" t="s">
        <v>202</v>
      </c>
      <c r="D48" s="5" t="s">
        <v>23</v>
      </c>
      <c r="E48" s="5" t="s">
        <v>203</v>
      </c>
      <c r="F48" s="5" t="s">
        <v>25</v>
      </c>
      <c r="G48" s="5" t="s">
        <v>37</v>
      </c>
      <c r="H48" s="5" t="s">
        <v>27</v>
      </c>
    </row>
    <row r="49" customFormat="false" ht="15" hidden="false" customHeight="false" outlineLevel="0" collapsed="false">
      <c r="A49" s="5" t="s">
        <v>204</v>
      </c>
      <c r="B49" s="5" t="s">
        <v>198</v>
      </c>
      <c r="C49" s="5" t="s">
        <v>205</v>
      </c>
      <c r="D49" s="5" t="s">
        <v>23</v>
      </c>
      <c r="E49" s="5" t="s">
        <v>206</v>
      </c>
      <c r="F49" s="5" t="s">
        <v>25</v>
      </c>
      <c r="G49" s="5" t="s">
        <v>37</v>
      </c>
      <c r="H49" s="5" t="s">
        <v>27</v>
      </c>
    </row>
    <row r="50" customFormat="false" ht="15" hidden="false" customHeight="false" outlineLevel="0" collapsed="false">
      <c r="A50" s="5" t="s">
        <v>207</v>
      </c>
      <c r="B50" s="5" t="s">
        <v>198</v>
      </c>
      <c r="C50" s="5" t="s">
        <v>208</v>
      </c>
      <c r="D50" s="5" t="s">
        <v>23</v>
      </c>
      <c r="E50" s="5" t="s">
        <v>209</v>
      </c>
      <c r="F50" s="5" t="s">
        <v>25</v>
      </c>
      <c r="G50" s="5" t="s">
        <v>149</v>
      </c>
      <c r="H50" s="5" t="s">
        <v>27</v>
      </c>
    </row>
    <row r="51" customFormat="false" ht="23.85" hidden="false" customHeight="false" outlineLevel="0" collapsed="false">
      <c r="A51" s="5" t="s">
        <v>210</v>
      </c>
      <c r="B51" s="5" t="s">
        <v>198</v>
      </c>
      <c r="C51" s="5" t="s">
        <v>211</v>
      </c>
      <c r="D51" s="5" t="s">
        <v>23</v>
      </c>
      <c r="E51" s="5" t="s">
        <v>212</v>
      </c>
      <c r="F51" s="5" t="s">
        <v>25</v>
      </c>
      <c r="G51" s="5" t="s">
        <v>149</v>
      </c>
      <c r="H51" s="5" t="s">
        <v>27</v>
      </c>
    </row>
    <row r="52" customFormat="false" ht="15" hidden="false" customHeight="false" outlineLevel="0" collapsed="false">
      <c r="A52" s="5" t="s">
        <v>213</v>
      </c>
      <c r="B52" s="5" t="s">
        <v>198</v>
      </c>
      <c r="C52" s="5" t="s">
        <v>214</v>
      </c>
      <c r="D52" s="5" t="s">
        <v>23</v>
      </c>
      <c r="E52" s="5" t="s">
        <v>215</v>
      </c>
      <c r="F52" s="5" t="s">
        <v>25</v>
      </c>
      <c r="G52" s="5" t="s">
        <v>37</v>
      </c>
      <c r="H52" s="5" t="s">
        <v>27</v>
      </c>
    </row>
    <row r="53" customFormat="false" ht="15" hidden="false" customHeight="false" outlineLevel="0" collapsed="false">
      <c r="A53" s="5" t="s">
        <v>216</v>
      </c>
      <c r="B53" s="5" t="s">
        <v>198</v>
      </c>
      <c r="C53" s="5" t="s">
        <v>217</v>
      </c>
      <c r="D53" s="5" t="s">
        <v>23</v>
      </c>
      <c r="E53" s="5" t="s">
        <v>218</v>
      </c>
      <c r="F53" s="5" t="s">
        <v>177</v>
      </c>
      <c r="G53" s="5" t="s">
        <v>37</v>
      </c>
      <c r="H53" s="5" t="s">
        <v>27</v>
      </c>
    </row>
    <row r="54" customFormat="false" ht="23.85" hidden="false" customHeight="false" outlineLevel="0" collapsed="false">
      <c r="A54" s="5" t="s">
        <v>219</v>
      </c>
      <c r="B54" s="5" t="s">
        <v>198</v>
      </c>
      <c r="C54" s="5" t="s">
        <v>220</v>
      </c>
      <c r="D54" s="5" t="s">
        <v>221</v>
      </c>
      <c r="E54" s="5" t="s">
        <v>222</v>
      </c>
      <c r="F54" s="5" t="s">
        <v>149</v>
      </c>
      <c r="G54" s="5" t="s">
        <v>149</v>
      </c>
      <c r="H54" s="5" t="s">
        <v>223</v>
      </c>
    </row>
    <row r="55" customFormat="false" ht="15" hidden="false" customHeight="false" outlineLevel="0" collapsed="false">
      <c r="A55" s="5" t="s">
        <v>224</v>
      </c>
      <c r="B55" s="5" t="s">
        <v>198</v>
      </c>
      <c r="C55" s="5" t="s">
        <v>225</v>
      </c>
      <c r="D55" s="5" t="s">
        <v>23</v>
      </c>
      <c r="E55" s="5" t="s">
        <v>226</v>
      </c>
      <c r="F55" s="5" t="s">
        <v>53</v>
      </c>
      <c r="G55" s="5" t="s">
        <v>178</v>
      </c>
      <c r="H55" s="5" t="s">
        <v>27</v>
      </c>
    </row>
    <row r="56" customFormat="false" ht="15" hidden="false" customHeight="false" outlineLevel="0" collapsed="false">
      <c r="A56" s="5" t="s">
        <v>227</v>
      </c>
      <c r="B56" s="5" t="s">
        <v>198</v>
      </c>
      <c r="C56" s="5" t="s">
        <v>228</v>
      </c>
      <c r="D56" s="5" t="s">
        <v>23</v>
      </c>
      <c r="E56" s="5" t="s">
        <v>229</v>
      </c>
      <c r="F56" s="5" t="s">
        <v>53</v>
      </c>
      <c r="G56" s="5" t="s">
        <v>37</v>
      </c>
      <c r="H56" s="5" t="s">
        <v>27</v>
      </c>
    </row>
    <row r="57" customFormat="false" ht="23.85" hidden="false" customHeight="false" outlineLevel="0" collapsed="false">
      <c r="A57" s="5" t="s">
        <v>230</v>
      </c>
      <c r="B57" s="5" t="s">
        <v>198</v>
      </c>
      <c r="C57" s="5" t="s">
        <v>231</v>
      </c>
      <c r="D57" s="5" t="s">
        <v>221</v>
      </c>
      <c r="E57" s="5" t="s">
        <v>232</v>
      </c>
      <c r="F57" s="5" t="s">
        <v>149</v>
      </c>
      <c r="G57" s="5" t="s">
        <v>149</v>
      </c>
      <c r="H57" s="5" t="s">
        <v>223</v>
      </c>
    </row>
    <row r="58" customFormat="false" ht="23.85" hidden="false" customHeight="false" outlineLevel="0" collapsed="false">
      <c r="A58" s="5" t="s">
        <v>233</v>
      </c>
      <c r="B58" s="5" t="s">
        <v>198</v>
      </c>
      <c r="C58" s="5" t="s">
        <v>234</v>
      </c>
      <c r="D58" s="5" t="s">
        <v>221</v>
      </c>
      <c r="E58" s="5" t="s">
        <v>235</v>
      </c>
      <c r="F58" s="5" t="s">
        <v>149</v>
      </c>
      <c r="G58" s="5" t="s">
        <v>149</v>
      </c>
      <c r="H58" s="5" t="s">
        <v>223</v>
      </c>
    </row>
    <row r="59" customFormat="false" ht="15" hidden="false" customHeight="false" outlineLevel="0" collapsed="false">
      <c r="A59" s="5" t="s">
        <v>236</v>
      </c>
      <c r="B59" s="5" t="s">
        <v>198</v>
      </c>
      <c r="C59" s="5" t="s">
        <v>237</v>
      </c>
      <c r="D59" s="5" t="s">
        <v>23</v>
      </c>
      <c r="E59" s="5" t="s">
        <v>238</v>
      </c>
      <c r="F59" s="5" t="s">
        <v>25</v>
      </c>
      <c r="G59" s="5" t="s">
        <v>149</v>
      </c>
      <c r="H59" s="5" t="s">
        <v>27</v>
      </c>
    </row>
    <row r="60" customFormat="false" ht="15" hidden="false" customHeight="false" outlineLevel="0" collapsed="false">
      <c r="A60" s="5" t="s">
        <v>239</v>
      </c>
      <c r="B60" s="5" t="s">
        <v>198</v>
      </c>
      <c r="C60" s="5" t="s">
        <v>240</v>
      </c>
      <c r="D60" s="5" t="s">
        <v>23</v>
      </c>
      <c r="E60" s="5" t="s">
        <v>241</v>
      </c>
      <c r="F60" s="5" t="s">
        <v>25</v>
      </c>
      <c r="G60" s="5" t="s">
        <v>37</v>
      </c>
      <c r="H60" s="5" t="s">
        <v>27</v>
      </c>
    </row>
    <row r="61" customFormat="false" ht="15" hidden="false" customHeight="false" outlineLevel="0" collapsed="false">
      <c r="A61" s="5" t="s">
        <v>242</v>
      </c>
      <c r="B61" s="5" t="s">
        <v>243</v>
      </c>
      <c r="C61" s="5" t="s">
        <v>244</v>
      </c>
      <c r="D61" s="5" t="s">
        <v>23</v>
      </c>
      <c r="E61" s="5" t="s">
        <v>245</v>
      </c>
      <c r="F61" s="5" t="s">
        <v>53</v>
      </c>
      <c r="G61" s="5" t="s">
        <v>178</v>
      </c>
      <c r="H61" s="5" t="s">
        <v>27</v>
      </c>
    </row>
    <row r="62" customFormat="false" ht="15" hidden="false" customHeight="false" outlineLevel="0" collapsed="false">
      <c r="A62" s="5" t="s">
        <v>246</v>
      </c>
      <c r="B62" s="5" t="s">
        <v>243</v>
      </c>
      <c r="C62" s="5" t="s">
        <v>247</v>
      </c>
      <c r="D62" s="5" t="s">
        <v>23</v>
      </c>
      <c r="E62" s="5" t="s">
        <v>248</v>
      </c>
      <c r="F62" s="5" t="s">
        <v>249</v>
      </c>
      <c r="G62" s="5" t="s">
        <v>250</v>
      </c>
      <c r="H62" s="5" t="s">
        <v>27</v>
      </c>
    </row>
    <row r="63" customFormat="false" ht="15" hidden="false" customHeight="false" outlineLevel="0" collapsed="false">
      <c r="A63" s="5" t="s">
        <v>251</v>
      </c>
      <c r="B63" s="5" t="s">
        <v>243</v>
      </c>
      <c r="C63" s="5" t="s">
        <v>252</v>
      </c>
      <c r="D63" s="5" t="s">
        <v>23</v>
      </c>
      <c r="E63" s="5" t="s">
        <v>253</v>
      </c>
      <c r="F63" s="5" t="s">
        <v>254</v>
      </c>
      <c r="G63" s="5" t="s">
        <v>37</v>
      </c>
      <c r="H63" s="5" t="s">
        <v>27</v>
      </c>
    </row>
    <row r="64" customFormat="false" ht="15" hidden="false" customHeight="false" outlineLevel="0" collapsed="false">
      <c r="A64" s="5" t="s">
        <v>255</v>
      </c>
      <c r="B64" s="5" t="s">
        <v>243</v>
      </c>
      <c r="C64" s="5" t="s">
        <v>256</v>
      </c>
      <c r="D64" s="5" t="s">
        <v>23</v>
      </c>
      <c r="E64" s="5" t="s">
        <v>257</v>
      </c>
      <c r="F64" s="5" t="s">
        <v>36</v>
      </c>
      <c r="G64" s="5" t="s">
        <v>58</v>
      </c>
      <c r="H64" s="5" t="s">
        <v>27</v>
      </c>
    </row>
    <row r="65" customFormat="false" ht="15" hidden="false" customHeight="false" outlineLevel="0" collapsed="false">
      <c r="A65" s="5" t="s">
        <v>258</v>
      </c>
      <c r="B65" s="5" t="s">
        <v>243</v>
      </c>
      <c r="C65" s="5" t="s">
        <v>259</v>
      </c>
      <c r="D65" s="5" t="s">
        <v>23</v>
      </c>
      <c r="E65" s="5" t="s">
        <v>260</v>
      </c>
      <c r="F65" s="5" t="s">
        <v>91</v>
      </c>
      <c r="G65" s="5" t="s">
        <v>261</v>
      </c>
      <c r="H65" s="5" t="s">
        <v>32</v>
      </c>
    </row>
    <row r="66" customFormat="false" ht="15" hidden="false" customHeight="false" outlineLevel="0" collapsed="false">
      <c r="A66" s="5" t="s">
        <v>262</v>
      </c>
      <c r="B66" s="5" t="s">
        <v>243</v>
      </c>
      <c r="C66" s="5" t="s">
        <v>263</v>
      </c>
      <c r="D66" s="5" t="s">
        <v>23</v>
      </c>
      <c r="E66" s="5" t="s">
        <v>264</v>
      </c>
      <c r="F66" s="5" t="s">
        <v>25</v>
      </c>
      <c r="G66" s="5" t="s">
        <v>149</v>
      </c>
      <c r="H66" s="5" t="s">
        <v>27</v>
      </c>
    </row>
    <row r="67" customFormat="false" ht="15" hidden="false" customHeight="false" outlineLevel="0" collapsed="false">
      <c r="A67" s="5" t="s">
        <v>265</v>
      </c>
      <c r="B67" s="5" t="s">
        <v>243</v>
      </c>
      <c r="C67" s="5" t="s">
        <v>266</v>
      </c>
      <c r="D67" s="5" t="s">
        <v>23</v>
      </c>
      <c r="E67" s="5" t="s">
        <v>267</v>
      </c>
      <c r="F67" s="5" t="s">
        <v>53</v>
      </c>
      <c r="G67" s="5" t="s">
        <v>137</v>
      </c>
      <c r="H67" s="5" t="s">
        <v>27</v>
      </c>
    </row>
    <row r="68" customFormat="false" ht="15" hidden="false" customHeight="false" outlineLevel="0" collapsed="false">
      <c r="A68" s="5" t="s">
        <v>268</v>
      </c>
      <c r="B68" s="5" t="s">
        <v>243</v>
      </c>
      <c r="C68" s="5" t="s">
        <v>269</v>
      </c>
      <c r="D68" s="5" t="s">
        <v>23</v>
      </c>
      <c r="E68" s="5" t="s">
        <v>270</v>
      </c>
      <c r="F68" s="5" t="s">
        <v>25</v>
      </c>
      <c r="G68" s="5" t="s">
        <v>137</v>
      </c>
      <c r="H68" s="5" t="s">
        <v>27</v>
      </c>
    </row>
    <row r="69" customFormat="false" ht="15" hidden="false" customHeight="false" outlineLevel="0" collapsed="false">
      <c r="A69" s="5" t="s">
        <v>271</v>
      </c>
      <c r="B69" s="5" t="s">
        <v>243</v>
      </c>
      <c r="C69" s="5" t="s">
        <v>272</v>
      </c>
      <c r="D69" s="5" t="s">
        <v>23</v>
      </c>
      <c r="E69" s="5" t="s">
        <v>273</v>
      </c>
      <c r="F69" s="5" t="s">
        <v>25</v>
      </c>
      <c r="G69" s="5" t="s">
        <v>178</v>
      </c>
      <c r="H69" s="5" t="s">
        <v>27</v>
      </c>
    </row>
    <row r="70" customFormat="false" ht="15" hidden="false" customHeight="false" outlineLevel="0" collapsed="false">
      <c r="A70" s="5" t="s">
        <v>274</v>
      </c>
      <c r="B70" s="5" t="s">
        <v>243</v>
      </c>
      <c r="C70" s="5" t="s">
        <v>275</v>
      </c>
      <c r="D70" s="5" t="s">
        <v>23</v>
      </c>
      <c r="E70" s="5" t="s">
        <v>276</v>
      </c>
      <c r="F70" s="5" t="s">
        <v>25</v>
      </c>
      <c r="G70" s="5" t="s">
        <v>149</v>
      </c>
      <c r="H70" s="5" t="s">
        <v>27</v>
      </c>
    </row>
    <row r="71" customFormat="false" ht="15" hidden="false" customHeight="false" outlineLevel="0" collapsed="false">
      <c r="A71" s="5" t="s">
        <v>277</v>
      </c>
      <c r="B71" s="5" t="s">
        <v>243</v>
      </c>
      <c r="C71" s="5" t="s">
        <v>278</v>
      </c>
      <c r="D71" s="5" t="s">
        <v>23</v>
      </c>
      <c r="E71" s="5" t="s">
        <v>279</v>
      </c>
      <c r="F71" s="5" t="s">
        <v>254</v>
      </c>
      <c r="G71" s="5" t="s">
        <v>37</v>
      </c>
      <c r="H71" s="5" t="s">
        <v>27</v>
      </c>
    </row>
    <row r="72" customFormat="false" ht="15" hidden="false" customHeight="false" outlineLevel="0" collapsed="false">
      <c r="A72" s="5" t="s">
        <v>280</v>
      </c>
      <c r="B72" s="5" t="s">
        <v>243</v>
      </c>
      <c r="C72" s="5" t="s">
        <v>281</v>
      </c>
      <c r="D72" s="5" t="s">
        <v>23</v>
      </c>
      <c r="E72" s="5" t="s">
        <v>282</v>
      </c>
      <c r="F72" s="5" t="s">
        <v>283</v>
      </c>
      <c r="G72" s="5" t="s">
        <v>37</v>
      </c>
      <c r="H72" s="5" t="s">
        <v>27</v>
      </c>
    </row>
    <row r="73" customFormat="false" ht="15" hidden="false" customHeight="false" outlineLevel="0" collapsed="false">
      <c r="A73" s="5" t="s">
        <v>284</v>
      </c>
      <c r="B73" s="5" t="s">
        <v>243</v>
      </c>
      <c r="C73" s="5" t="s">
        <v>285</v>
      </c>
      <c r="D73" s="5" t="s">
        <v>23</v>
      </c>
      <c r="E73" s="5" t="s">
        <v>286</v>
      </c>
      <c r="F73" s="5" t="s">
        <v>141</v>
      </c>
      <c r="G73" s="5" t="s">
        <v>137</v>
      </c>
      <c r="H73" s="5" t="s">
        <v>27</v>
      </c>
    </row>
    <row r="74" customFormat="false" ht="15" hidden="false" customHeight="false" outlineLevel="0" collapsed="false">
      <c r="A74" s="5" t="s">
        <v>287</v>
      </c>
      <c r="B74" s="5" t="s">
        <v>243</v>
      </c>
      <c r="C74" s="5" t="s">
        <v>288</v>
      </c>
      <c r="D74" s="5" t="s">
        <v>23</v>
      </c>
      <c r="E74" s="5" t="s">
        <v>289</v>
      </c>
      <c r="F74" s="5" t="s">
        <v>141</v>
      </c>
      <c r="G74" s="5" t="s">
        <v>137</v>
      </c>
      <c r="H74" s="5" t="s">
        <v>27</v>
      </c>
    </row>
    <row r="75" customFormat="false" ht="15" hidden="false" customHeight="false" outlineLevel="0" collapsed="false">
      <c r="A75" s="5" t="s">
        <v>290</v>
      </c>
      <c r="B75" s="5" t="s">
        <v>243</v>
      </c>
      <c r="C75" s="5" t="s">
        <v>291</v>
      </c>
      <c r="D75" s="5" t="s">
        <v>23</v>
      </c>
      <c r="E75" s="5" t="s">
        <v>292</v>
      </c>
      <c r="F75" s="5" t="s">
        <v>132</v>
      </c>
      <c r="G75" s="5" t="s">
        <v>37</v>
      </c>
      <c r="H75" s="5" t="s">
        <v>27</v>
      </c>
    </row>
    <row r="76" customFormat="false" ht="23.85" hidden="false" customHeight="false" outlineLevel="0" collapsed="false">
      <c r="A76" s="5" t="s">
        <v>293</v>
      </c>
      <c r="B76" s="5" t="s">
        <v>243</v>
      </c>
      <c r="C76" s="5" t="s">
        <v>294</v>
      </c>
      <c r="D76" s="5" t="s">
        <v>23</v>
      </c>
      <c r="E76" s="5" t="s">
        <v>295</v>
      </c>
      <c r="F76" s="5" t="s">
        <v>296</v>
      </c>
      <c r="G76" s="5" t="s">
        <v>297</v>
      </c>
      <c r="H76" s="5" t="s">
        <v>27</v>
      </c>
    </row>
    <row r="77" customFormat="false" ht="15" hidden="false" customHeight="false" outlineLevel="0" collapsed="false">
      <c r="A77" s="5" t="s">
        <v>298</v>
      </c>
      <c r="B77" s="5" t="s">
        <v>243</v>
      </c>
      <c r="C77" s="5" t="s">
        <v>299</v>
      </c>
      <c r="D77" s="5" t="s">
        <v>23</v>
      </c>
      <c r="E77" s="5" t="s">
        <v>300</v>
      </c>
      <c r="F77" s="5" t="s">
        <v>283</v>
      </c>
      <c r="G77" s="5" t="s">
        <v>37</v>
      </c>
      <c r="H77" s="5" t="s">
        <v>27</v>
      </c>
    </row>
    <row r="78" customFormat="false" ht="15" hidden="false" customHeight="false" outlineLevel="0" collapsed="false">
      <c r="A78" s="5" t="s">
        <v>301</v>
      </c>
      <c r="B78" s="5" t="s">
        <v>243</v>
      </c>
      <c r="C78" s="5" t="s">
        <v>302</v>
      </c>
      <c r="D78" s="5" t="s">
        <v>23</v>
      </c>
      <c r="E78" s="5" t="s">
        <v>303</v>
      </c>
      <c r="F78" s="5" t="s">
        <v>304</v>
      </c>
      <c r="G78" s="5" t="s">
        <v>137</v>
      </c>
      <c r="H78" s="5" t="s">
        <v>27</v>
      </c>
    </row>
    <row r="79" customFormat="false" ht="15" hidden="false" customHeight="false" outlineLevel="0" collapsed="false">
      <c r="A79" s="5" t="s">
        <v>305</v>
      </c>
      <c r="B79" s="5" t="s">
        <v>243</v>
      </c>
      <c r="C79" s="5" t="s">
        <v>306</v>
      </c>
      <c r="D79" s="5" t="s">
        <v>23</v>
      </c>
      <c r="E79" s="5" t="s">
        <v>307</v>
      </c>
      <c r="F79" s="5" t="s">
        <v>308</v>
      </c>
      <c r="G79" s="5" t="s">
        <v>58</v>
      </c>
      <c r="H79" s="5" t="s">
        <v>27</v>
      </c>
    </row>
    <row r="80" customFormat="false" ht="15" hidden="false" customHeight="false" outlineLevel="0" collapsed="false">
      <c r="A80" s="5" t="s">
        <v>309</v>
      </c>
      <c r="B80" s="5" t="s">
        <v>243</v>
      </c>
      <c r="C80" s="5" t="s">
        <v>310</v>
      </c>
      <c r="D80" s="5" t="s">
        <v>23</v>
      </c>
      <c r="E80" s="5" t="s">
        <v>311</v>
      </c>
      <c r="F80" s="5" t="s">
        <v>25</v>
      </c>
      <c r="G80" s="5" t="s">
        <v>137</v>
      </c>
      <c r="H80" s="5" t="s">
        <v>27</v>
      </c>
    </row>
    <row r="81" customFormat="false" ht="15" hidden="false" customHeight="false" outlineLevel="0" collapsed="false">
      <c r="A81" s="5" t="s">
        <v>312</v>
      </c>
      <c r="B81" s="5" t="s">
        <v>243</v>
      </c>
      <c r="C81" s="5" t="s">
        <v>313</v>
      </c>
      <c r="D81" s="5" t="s">
        <v>23</v>
      </c>
      <c r="E81" s="5" t="s">
        <v>314</v>
      </c>
      <c r="F81" s="5" t="s">
        <v>79</v>
      </c>
      <c r="G81" s="5" t="s">
        <v>315</v>
      </c>
      <c r="H81" s="5" t="s">
        <v>27</v>
      </c>
    </row>
    <row r="82" customFormat="false" ht="15" hidden="false" customHeight="false" outlineLevel="0" collapsed="false">
      <c r="A82" s="5" t="s">
        <v>316</v>
      </c>
      <c r="B82" s="5" t="s">
        <v>243</v>
      </c>
      <c r="C82" s="5" t="s">
        <v>317</v>
      </c>
      <c r="D82" s="5" t="s">
        <v>23</v>
      </c>
      <c r="E82" s="5" t="s">
        <v>318</v>
      </c>
      <c r="F82" s="5" t="s">
        <v>25</v>
      </c>
      <c r="G82" s="5" t="s">
        <v>137</v>
      </c>
      <c r="H82" s="5" t="s">
        <v>27</v>
      </c>
    </row>
    <row r="83" customFormat="false" ht="15" hidden="false" customHeight="false" outlineLevel="0" collapsed="false">
      <c r="A83" s="5" t="s">
        <v>319</v>
      </c>
      <c r="B83" s="5" t="s">
        <v>243</v>
      </c>
      <c r="C83" s="5" t="s">
        <v>320</v>
      </c>
      <c r="D83" s="5" t="s">
        <v>23</v>
      </c>
      <c r="E83" s="5" t="s">
        <v>321</v>
      </c>
      <c r="F83" s="5" t="s">
        <v>53</v>
      </c>
      <c r="G83" s="5" t="s">
        <v>178</v>
      </c>
      <c r="H83" s="5" t="s">
        <v>27</v>
      </c>
    </row>
    <row r="84" customFormat="false" ht="15" hidden="false" customHeight="false" outlineLevel="0" collapsed="false">
      <c r="A84" s="5" t="s">
        <v>322</v>
      </c>
      <c r="B84" s="5" t="s">
        <v>243</v>
      </c>
      <c r="C84" s="5" t="s">
        <v>323</v>
      </c>
      <c r="D84" s="5" t="s">
        <v>23</v>
      </c>
      <c r="E84" s="5" t="s">
        <v>324</v>
      </c>
      <c r="F84" s="5" t="s">
        <v>25</v>
      </c>
      <c r="G84" s="5" t="s">
        <v>325</v>
      </c>
      <c r="H84" s="5" t="s">
        <v>27</v>
      </c>
    </row>
    <row r="85" customFormat="false" ht="15" hidden="false" customHeight="false" outlineLevel="0" collapsed="false">
      <c r="A85" s="5" t="s">
        <v>326</v>
      </c>
      <c r="B85" s="5" t="s">
        <v>243</v>
      </c>
      <c r="C85" s="5" t="s">
        <v>327</v>
      </c>
      <c r="D85" s="5" t="s">
        <v>23</v>
      </c>
      <c r="E85" s="5" t="s">
        <v>328</v>
      </c>
      <c r="F85" s="5" t="s">
        <v>25</v>
      </c>
      <c r="G85" s="5" t="s">
        <v>329</v>
      </c>
      <c r="H85" s="5" t="s">
        <v>27</v>
      </c>
    </row>
    <row r="86" customFormat="false" ht="15" hidden="false" customHeight="false" outlineLevel="0" collapsed="false">
      <c r="A86" s="5" t="s">
        <v>330</v>
      </c>
      <c r="B86" s="5" t="s">
        <v>243</v>
      </c>
      <c r="C86" s="5" t="s">
        <v>331</v>
      </c>
      <c r="D86" s="5" t="s">
        <v>23</v>
      </c>
      <c r="E86" s="5" t="s">
        <v>332</v>
      </c>
      <c r="F86" s="5" t="s">
        <v>333</v>
      </c>
      <c r="G86" s="5" t="s">
        <v>334</v>
      </c>
      <c r="H86" s="5" t="s">
        <v>27</v>
      </c>
    </row>
    <row r="87" customFormat="false" ht="23.85" hidden="false" customHeight="false" outlineLevel="0" collapsed="false">
      <c r="A87" s="5" t="s">
        <v>335</v>
      </c>
      <c r="B87" s="5" t="s">
        <v>243</v>
      </c>
      <c r="C87" s="5" t="s">
        <v>336</v>
      </c>
      <c r="D87" s="5" t="s">
        <v>23</v>
      </c>
      <c r="E87" s="5" t="s">
        <v>337</v>
      </c>
      <c r="F87" s="5" t="s">
        <v>25</v>
      </c>
      <c r="G87" s="5" t="s">
        <v>137</v>
      </c>
      <c r="H87" s="5" t="s">
        <v>27</v>
      </c>
    </row>
    <row r="88" customFormat="false" ht="15" hidden="false" customHeight="false" outlineLevel="0" collapsed="false">
      <c r="A88" s="5" t="s">
        <v>338</v>
      </c>
      <c r="B88" s="5" t="s">
        <v>243</v>
      </c>
      <c r="C88" s="5" t="s">
        <v>339</v>
      </c>
      <c r="D88" s="5" t="s">
        <v>23</v>
      </c>
      <c r="E88" s="5" t="s">
        <v>340</v>
      </c>
      <c r="F88" s="5" t="s">
        <v>25</v>
      </c>
      <c r="G88" s="5" t="s">
        <v>329</v>
      </c>
      <c r="H88" s="5" t="s">
        <v>27</v>
      </c>
    </row>
    <row r="89" customFormat="false" ht="15" hidden="false" customHeight="false" outlineLevel="0" collapsed="false">
      <c r="A89" s="5" t="s">
        <v>341</v>
      </c>
      <c r="B89" s="5" t="s">
        <v>243</v>
      </c>
      <c r="C89" s="5" t="s">
        <v>342</v>
      </c>
      <c r="D89" s="5" t="s">
        <v>23</v>
      </c>
      <c r="E89" s="5" t="s">
        <v>343</v>
      </c>
      <c r="F89" s="5" t="s">
        <v>308</v>
      </c>
      <c r="G89" s="5" t="s">
        <v>58</v>
      </c>
      <c r="H89" s="5" t="s">
        <v>27</v>
      </c>
    </row>
    <row r="90" customFormat="false" ht="15" hidden="false" customHeight="false" outlineLevel="0" collapsed="false">
      <c r="A90" s="5" t="s">
        <v>344</v>
      </c>
      <c r="B90" s="5" t="s">
        <v>243</v>
      </c>
      <c r="C90" s="5" t="s">
        <v>345</v>
      </c>
      <c r="D90" s="5" t="s">
        <v>23</v>
      </c>
      <c r="E90" s="5" t="s">
        <v>346</v>
      </c>
      <c r="F90" s="5" t="s">
        <v>107</v>
      </c>
      <c r="G90" s="5" t="s">
        <v>58</v>
      </c>
      <c r="H90" s="5" t="s">
        <v>27</v>
      </c>
    </row>
    <row r="91" customFormat="false" ht="15" hidden="false" customHeight="false" outlineLevel="0" collapsed="false">
      <c r="A91" s="5" t="s">
        <v>347</v>
      </c>
      <c r="B91" s="5" t="s">
        <v>243</v>
      </c>
      <c r="C91" s="5" t="s">
        <v>348</v>
      </c>
      <c r="D91" s="5" t="s">
        <v>23</v>
      </c>
      <c r="E91" s="5" t="s">
        <v>349</v>
      </c>
      <c r="F91" s="5" t="s">
        <v>308</v>
      </c>
      <c r="G91" s="5" t="s">
        <v>58</v>
      </c>
      <c r="H91" s="5" t="s">
        <v>27</v>
      </c>
    </row>
    <row r="92" customFormat="false" ht="15" hidden="false" customHeight="false" outlineLevel="0" collapsed="false">
      <c r="A92" s="5" t="s">
        <v>350</v>
      </c>
      <c r="B92" s="5" t="s">
        <v>243</v>
      </c>
      <c r="C92" s="5" t="s">
        <v>351</v>
      </c>
      <c r="D92" s="5" t="s">
        <v>23</v>
      </c>
      <c r="E92" s="5" t="s">
        <v>352</v>
      </c>
      <c r="F92" s="5" t="s">
        <v>308</v>
      </c>
      <c r="G92" s="5" t="s">
        <v>58</v>
      </c>
      <c r="H92" s="5" t="s">
        <v>27</v>
      </c>
    </row>
    <row r="93" customFormat="false" ht="15" hidden="false" customHeight="false" outlineLevel="0" collapsed="false">
      <c r="A93" s="5" t="s">
        <v>353</v>
      </c>
      <c r="B93" s="5" t="s">
        <v>243</v>
      </c>
      <c r="C93" s="5" t="s">
        <v>354</v>
      </c>
      <c r="D93" s="5" t="s">
        <v>23</v>
      </c>
      <c r="E93" s="5" t="s">
        <v>355</v>
      </c>
      <c r="F93" s="5" t="s">
        <v>308</v>
      </c>
      <c r="G93" s="5" t="s">
        <v>37</v>
      </c>
      <c r="H93" s="5" t="s">
        <v>27</v>
      </c>
    </row>
    <row r="94" customFormat="false" ht="15" hidden="false" customHeight="false" outlineLevel="0" collapsed="false">
      <c r="A94" s="5" t="s">
        <v>356</v>
      </c>
      <c r="B94" s="5" t="s">
        <v>243</v>
      </c>
      <c r="C94" s="5" t="s">
        <v>357</v>
      </c>
      <c r="D94" s="5" t="s">
        <v>23</v>
      </c>
      <c r="E94" s="5" t="s">
        <v>358</v>
      </c>
      <c r="F94" s="5" t="s">
        <v>25</v>
      </c>
      <c r="G94" s="5" t="s">
        <v>149</v>
      </c>
      <c r="H94" s="5" t="s">
        <v>27</v>
      </c>
    </row>
  </sheetData>
  <autoFilter ref="A1:H94"/>
  <conditionalFormatting sqref="A2:H94">
    <cfRule type="expression" priority="2" aboveAverage="0" equalAverage="0" bottom="0" percent="0" rank="0" text="" dxfId="6">
      <formula>$D2="Non"</formula>
    </cfRule>
  </conditionalFormatting>
  <conditionalFormatting sqref="H2:H94">
    <cfRule type="expression" priority="3" aboveAverage="0" equalAverage="0" bottom="0" percent="0" rank="0" text="" dxfId="7">
      <formula>$H2="Partially compliant"</formula>
    </cfRule>
    <cfRule type="expression" priority="4" aboveAverage="0" equalAverage="0" bottom="0" percent="0" rank="0" text="" dxfId="8">
      <formula>$H2="Non compliant"</formula>
    </cfRule>
    <cfRule type="expression" priority="5" aboveAverage="0" equalAverage="0" bottom="0" percent="0" rank="0" text="" dxfId="9">
      <formula>$H2="Compliant"</formula>
    </cfRule>
  </conditionalFormatting>
  <dataValidations count="2">
    <dataValidation allowBlank="false" errorStyle="stop" operator="between" showDropDown="false" showErrorMessage="false" showInputMessage="false" sqref="D2:D94" type="list">
      <formula1>"Oui,Non"</formula1>
      <formula2>0</formula2>
    </dataValidation>
    <dataValidation allowBlank="false" errorStyle="stop" operator="between" showDropDown="false" showErrorMessage="false" showInputMessage="false" sqref="H2:H94" type="list">
      <formula1>"Not applicable,Non compliant,Partially compliant,Compliant"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15" hidden="false" customHeight="false" outlineLevel="0" collapsed="false">
      <c r="A1" s="6" t="s">
        <v>13</v>
      </c>
      <c r="B1" s="6" t="s">
        <v>359</v>
      </c>
      <c r="C1" s="6" t="s">
        <v>360</v>
      </c>
      <c r="D1" s="6" t="s">
        <v>361</v>
      </c>
      <c r="E1" s="6" t="s">
        <v>32</v>
      </c>
      <c r="F1" s="6" t="s">
        <v>27</v>
      </c>
      <c r="G1" s="6" t="s">
        <v>362</v>
      </c>
    </row>
    <row r="2" customFormat="false" ht="15" hidden="false" customHeight="false" outlineLevel="0" collapsed="false">
      <c r="A2" s="7" t="s">
        <v>21</v>
      </c>
      <c r="B2" s="7" t="n">
        <f aca="false">COUNTIF(SoA!$B$2:$B$94,A2)</f>
        <v>37</v>
      </c>
      <c r="C2" s="7" t="n">
        <f aca="false">COUNTIFS(SoA!$B$2:$B$94,A2,SoA!$D$2:$D$94,"Oui")</f>
        <v>37</v>
      </c>
      <c r="D2" s="7" t="n">
        <f aca="false">COUNTIFS(SoA!$B$2:$B$94,A2,SoA!$D$2:$D$94,"Non")</f>
        <v>0</v>
      </c>
      <c r="E2" s="7" t="n">
        <f aca="false">COUNTIFS(SoA!$B$2:$B$94,A2,SoA!$H$2:$H$94,"Partially compliant")</f>
        <v>5</v>
      </c>
      <c r="F2" s="7" t="n">
        <f aca="false">COUNTIFS(SoA!$B$2:$B$94,A2,SoA!$H$2:$H$94,"Non compliant")</f>
        <v>32</v>
      </c>
      <c r="G2" s="8" t="n">
        <f aca="false">IFERROR(C2/B2,0)</f>
        <v>1</v>
      </c>
    </row>
    <row r="3" customFormat="false" ht="15" hidden="false" customHeight="false" outlineLevel="0" collapsed="false">
      <c r="A3" s="7" t="s">
        <v>168</v>
      </c>
      <c r="B3" s="7" t="n">
        <f aca="false">COUNTIF(SoA!$B$2:$B$94,A3)</f>
        <v>8</v>
      </c>
      <c r="C3" s="7" t="n">
        <f aca="false">COUNTIFS(SoA!$B$2:$B$94,A3,SoA!$D$2:$D$94,"Oui")</f>
        <v>8</v>
      </c>
      <c r="D3" s="7" t="n">
        <f aca="false">COUNTIFS(SoA!$B$2:$B$94,A3,SoA!$D$2:$D$94,"Non")</f>
        <v>0</v>
      </c>
      <c r="E3" s="7" t="n">
        <f aca="false">COUNTIFS(SoA!$B$2:$B$94,A3,SoA!$H$2:$H$94,"Partially compliant")</f>
        <v>0</v>
      </c>
      <c r="F3" s="7" t="n">
        <f aca="false">COUNTIFS(SoA!$B$2:$B$94,A3,SoA!$H$2:$H$94,"Non compliant")</f>
        <v>8</v>
      </c>
      <c r="G3" s="8" t="n">
        <f aca="false">IFERROR(C3/B3,0)</f>
        <v>1</v>
      </c>
    </row>
    <row r="4" customFormat="false" ht="15" hidden="false" customHeight="false" outlineLevel="0" collapsed="false">
      <c r="A4" s="7" t="s">
        <v>198</v>
      </c>
      <c r="B4" s="7" t="n">
        <f aca="false">COUNTIF(SoA!$B$2:$B$94,A4)</f>
        <v>14</v>
      </c>
      <c r="C4" s="7" t="n">
        <f aca="false">COUNTIFS(SoA!$B$2:$B$94,A4,SoA!$D$2:$D$94,"Oui")</f>
        <v>11</v>
      </c>
      <c r="D4" s="7" t="n">
        <f aca="false">COUNTIFS(SoA!$B$2:$B$94,A4,SoA!$D$2:$D$94,"Non")</f>
        <v>3</v>
      </c>
      <c r="E4" s="7" t="n">
        <f aca="false">COUNTIFS(SoA!$B$2:$B$94,A4,SoA!$H$2:$H$94,"Partially compliant")</f>
        <v>0</v>
      </c>
      <c r="F4" s="7" t="n">
        <f aca="false">COUNTIFS(SoA!$B$2:$B$94,A4,SoA!$H$2:$H$94,"Non compliant")</f>
        <v>11</v>
      </c>
      <c r="G4" s="8" t="n">
        <f aca="false">IFERROR(C4/B4,0)</f>
        <v>0.785714285714286</v>
      </c>
    </row>
    <row r="5" customFormat="false" ht="15" hidden="false" customHeight="false" outlineLevel="0" collapsed="false">
      <c r="A5" s="7" t="s">
        <v>243</v>
      </c>
      <c r="B5" s="7" t="n">
        <f aca="false">COUNTIF(SoA!$B$2:$B$94,A5)</f>
        <v>34</v>
      </c>
      <c r="C5" s="7" t="n">
        <f aca="false">COUNTIFS(SoA!$B$2:$B$94,A5,SoA!$D$2:$D$94,"Oui")</f>
        <v>34</v>
      </c>
      <c r="D5" s="7" t="n">
        <f aca="false">COUNTIFS(SoA!$B$2:$B$94,A5,SoA!$D$2:$D$94,"Non")</f>
        <v>0</v>
      </c>
      <c r="E5" s="7" t="n">
        <f aca="false">COUNTIFS(SoA!$B$2:$B$94,A5,SoA!$H$2:$H$94,"Partially compliant")</f>
        <v>1</v>
      </c>
      <c r="F5" s="7" t="n">
        <f aca="false">COUNTIFS(SoA!$B$2:$B$94,A5,SoA!$H$2:$H$94,"Non compliant")</f>
        <v>33</v>
      </c>
      <c r="G5" s="8" t="n">
        <f aca="false">IFERROR(C5/B5,0)</f>
        <v>1</v>
      </c>
    </row>
    <row r="6" customFormat="false" ht="15" hidden="false" customHeight="false" outlineLevel="0" collapsed="false">
      <c r="A6" s="9" t="s">
        <v>363</v>
      </c>
      <c r="B6" s="9" t="n">
        <f aca="false">SUM(B2:B5)</f>
        <v>93</v>
      </c>
      <c r="C6" s="9" t="n">
        <f aca="false">SUM(C2:C5)</f>
        <v>90</v>
      </c>
      <c r="D6" s="9" t="n">
        <f aca="false">SUM(D2:D5)</f>
        <v>3</v>
      </c>
      <c r="E6" s="9" t="n">
        <f aca="false">SUM(E2:E5)</f>
        <v>6</v>
      </c>
      <c r="F6" s="9" t="n">
        <f aca="false">SUM(F2:F5)</f>
        <v>84</v>
      </c>
      <c r="G6" s="10" t="n">
        <f aca="false">IFERROR(C6/B6,0)</f>
        <v>0.967741935483871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2026-10-15T07:28:18Z</dcterms:created>
  <dc:creator>Ylayann Malouda Ribardiere</dc:creator>
  <dc:description/>
  <dc:language>en-US</dc:language>
  <cp:lastModifiedBy>Ylayann Malouda Ribardiere</cp:lastModifiedBy>
  <dcterms:modified xsi:type="dcterms:W3CDTF">2026-10-15T07:28:18Z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